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Ex1 NYC Intra-City" sheetId="2" state="visible" r:id="rId2"/>
    <sheet xmlns:r="http://schemas.openxmlformats.org/officeDocument/2006/relationships" name="Ex2 NYC Metro" sheetId="3" state="visible" r:id="rId3"/>
    <sheet xmlns:r="http://schemas.openxmlformats.org/officeDocument/2006/relationships" name="Ex3 Austin T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sz val="11"/>
    </font>
    <font>
      <name val="Arial"/>
      <b val="1"/>
      <color rgb="00006100"/>
      <sz val="1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7" fillId="0" borderId="0" pivotButton="0" quotePrefix="0" xfId="0"/>
    <xf numFmtId="2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164" fontId="5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6" fillId="4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165" fontId="8" fillId="6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0" fontId="8" fillId="6" borderId="1" pivotButton="0" quotePrefix="0" xfId="0"/>
    <xf numFmtId="166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>
      <c r="A1" s="1" t="inlineStr">
        <is>
          <t>WFH Perturbation Framework — Reference Parameters</t>
        </is>
      </c>
    </row>
    <row r="2">
      <c r="A2" s="2" t="inlineStr">
        <is>
          <t>This sheet contains all baseline WFH rates, structural upper bounds, and computed joint propensity matrices.</t>
        </is>
      </c>
    </row>
    <row r="4">
      <c r="A4" s="3" t="inlineStr">
        <is>
          <t>Section 1: Baseline WFH Rates and Upper Bounds by Education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/>
      <c r="B5" s="5" t="inlineStr">
        <is>
          <t>Education Level</t>
        </is>
      </c>
      <c r="C5" s="6" t="inlineStr">
        <is>
          <t>Baseline Rate (wₑ)</t>
        </is>
      </c>
      <c r="D5" s="6" t="inlineStr">
        <is>
          <t>Upper Bound (uₑ)</t>
        </is>
      </c>
      <c r="E5" s="6" t="inlineStr">
        <is>
          <t>Source</t>
        </is>
      </c>
    </row>
    <row r="6">
      <c r="A6" s="7" t="inlineStr"/>
      <c r="B6" s="7" t="inlineStr">
        <is>
          <t>Less than HS</t>
        </is>
      </c>
      <c r="C6" s="8" t="n">
        <v>0.035</v>
      </c>
      <c r="D6" s="8" t="n">
        <v>0.098</v>
      </c>
      <c r="E6" s="9" t="inlineStr">
        <is>
          <t>CPS Q1 2024 / Dingel-Neiman 2020</t>
        </is>
      </c>
    </row>
    <row r="7">
      <c r="A7" s="7" t="inlineStr"/>
      <c r="B7" s="7" t="inlineStr">
        <is>
          <t>HS Diploma</t>
        </is>
      </c>
      <c r="C7" s="8" t="n">
        <v>0.08500000000000001</v>
      </c>
      <c r="D7" s="8" t="n">
        <v>0.183</v>
      </c>
      <c r="E7" s="9" t="inlineStr">
        <is>
          <t>CPS Q1 2024 / Dingel-Neiman 2020</t>
        </is>
      </c>
    </row>
    <row r="8">
      <c r="A8" s="7" t="inlineStr"/>
      <c r="B8" s="7" t="inlineStr">
        <is>
          <t>Some College/Assoc.</t>
        </is>
      </c>
      <c r="C8" s="8" t="n">
        <v>0.183</v>
      </c>
      <c r="D8" s="8" t="n">
        <v>0.317</v>
      </c>
      <c r="E8" s="9" t="inlineStr">
        <is>
          <t>CPS Q1 2024 / Dingel-Neiman 2020</t>
        </is>
      </c>
    </row>
    <row r="9">
      <c r="A9" s="7" t="inlineStr"/>
      <c r="B9" s="7" t="inlineStr">
        <is>
          <t>Bachelor's</t>
        </is>
      </c>
      <c r="C9" s="8" t="n">
        <v>0.384</v>
      </c>
      <c r="D9" s="8" t="n">
        <v>0.556</v>
      </c>
      <c r="E9" s="9" t="inlineStr">
        <is>
          <t>CPS Q1 2024 / Dingel-Neiman 2020</t>
        </is>
      </c>
    </row>
    <row r="10">
      <c r="A10" s="7" t="inlineStr"/>
      <c r="B10" s="7" t="inlineStr">
        <is>
          <t>Advanced</t>
        </is>
      </c>
      <c r="C10" s="8" t="n">
        <v>0.436</v>
      </c>
      <c r="D10" s="8" t="n">
        <v>0.674</v>
      </c>
      <c r="E10" s="9" t="inlineStr">
        <is>
          <t>CPS Q1 2024 / Dingel-Neiman 2020</t>
        </is>
      </c>
    </row>
    <row r="12">
      <c r="A12" s="3" t="inlineStr">
        <is>
          <t>Section 2: Baseline WFH Rates and Upper Bounds by Industry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6" t="inlineStr">
        <is>
          <t>LODES</t>
        </is>
      </c>
      <c r="B13" s="5" t="inlineStr">
        <is>
          <t>Industry Sector</t>
        </is>
      </c>
      <c r="C13" s="6" t="inlineStr">
        <is>
          <t>Baseline Rate (wₒ)</t>
        </is>
      </c>
      <c r="D13" s="6" t="inlineStr">
        <is>
          <t>Upper Bound (uₒ)</t>
        </is>
      </c>
      <c r="E13" s="6" t="inlineStr">
        <is>
          <t>Source</t>
        </is>
      </c>
    </row>
    <row r="14">
      <c r="A14" s="10" t="inlineStr">
        <is>
          <t>CNS01</t>
        </is>
      </c>
      <c r="B14" s="7" t="inlineStr">
        <is>
          <t>Agriculture, Forestry, Fishing</t>
        </is>
      </c>
      <c r="C14" s="8" t="n">
        <v>0.123</v>
      </c>
      <c r="D14" s="8" t="n">
        <v>0.2</v>
      </c>
      <c r="E14" s="9" t="inlineStr">
        <is>
          <t>CPS Aug 2024 / Dingel-Neiman 2020</t>
        </is>
      </c>
    </row>
    <row r="15">
      <c r="A15" s="10" t="inlineStr">
        <is>
          <t>CNS02</t>
        </is>
      </c>
      <c r="B15" s="7" t="inlineStr">
        <is>
          <t>Mining, Quarrying, Oil/Gas</t>
        </is>
      </c>
      <c r="C15" s="8" t="n">
        <v>0.162</v>
      </c>
      <c r="D15" s="8" t="n">
        <v>0.25</v>
      </c>
      <c r="E15" s="9" t="inlineStr">
        <is>
          <t>CPS Aug 2024 / Dingel-Neiman 2020</t>
        </is>
      </c>
    </row>
    <row r="16">
      <c r="A16" s="10" t="inlineStr">
        <is>
          <t>CNS03</t>
        </is>
      </c>
      <c r="B16" s="7" t="inlineStr">
        <is>
          <t>Utilities</t>
        </is>
      </c>
      <c r="C16" s="8" t="n">
        <v>0.277</v>
      </c>
      <c r="D16" s="8" t="n">
        <v>0.37</v>
      </c>
      <c r="E16" s="9" t="inlineStr">
        <is>
          <t>CPS Aug 2024 / Dingel-Neiman 2020</t>
        </is>
      </c>
    </row>
    <row r="17">
      <c r="A17" s="10" t="inlineStr">
        <is>
          <t>CNS04</t>
        </is>
      </c>
      <c r="B17" s="7" t="inlineStr">
        <is>
          <t>Construction</t>
        </is>
      </c>
      <c r="C17" s="8" t="n">
        <v>0.089</v>
      </c>
      <c r="D17" s="8" t="n">
        <v>0.19</v>
      </c>
      <c r="E17" s="9" t="inlineStr">
        <is>
          <t>CPS Aug 2024 / Dingel-Neiman 2020</t>
        </is>
      </c>
    </row>
    <row r="18">
      <c r="A18" s="10" t="inlineStr">
        <is>
          <t>CNS05</t>
        </is>
      </c>
      <c r="B18" s="7" t="inlineStr">
        <is>
          <t>Manufacturing</t>
        </is>
      </c>
      <c r="C18" s="8" t="n">
        <v>0.196</v>
      </c>
      <c r="D18" s="8" t="n">
        <v>0.22</v>
      </c>
      <c r="E18" s="9" t="inlineStr">
        <is>
          <t>CPS Aug 2024 / Dingel-Neiman 2020</t>
        </is>
      </c>
    </row>
    <row r="19">
      <c r="A19" s="10" t="inlineStr">
        <is>
          <t>CNS06</t>
        </is>
      </c>
      <c r="B19" s="7" t="inlineStr">
        <is>
          <t>Wholesale Trade</t>
        </is>
      </c>
      <c r="C19" s="8" t="n">
        <v>0.234</v>
      </c>
      <c r="D19" s="8" t="n">
        <v>0.52</v>
      </c>
      <c r="E19" s="9" t="inlineStr">
        <is>
          <t>CPS Aug 2024 / Dingel-Neiman 2020</t>
        </is>
      </c>
    </row>
    <row r="20">
      <c r="A20" s="10" t="inlineStr">
        <is>
          <t>CNS07</t>
        </is>
      </c>
      <c r="B20" s="7" t="inlineStr">
        <is>
          <t>Retail Trade</t>
        </is>
      </c>
      <c r="C20" s="8" t="n">
        <v>0.11</v>
      </c>
      <c r="D20" s="8" t="n">
        <v>0.14</v>
      </c>
      <c r="E20" s="9" t="inlineStr">
        <is>
          <t>CPS Aug 2024 / Dingel-Neiman 2020</t>
        </is>
      </c>
    </row>
    <row r="21">
      <c r="A21" s="10" t="inlineStr">
        <is>
          <t>CNS08</t>
        </is>
      </c>
      <c r="B21" s="7" t="inlineStr">
        <is>
          <t>Transportation &amp; Warehousing</t>
        </is>
      </c>
      <c r="C21" s="8" t="n">
        <v>0.08</v>
      </c>
      <c r="D21" s="8" t="n">
        <v>0.19</v>
      </c>
      <c r="E21" s="9" t="inlineStr">
        <is>
          <t>CPS Aug 2024 / Dingel-Neiman 2020</t>
        </is>
      </c>
    </row>
    <row r="22">
      <c r="A22" s="10" t="inlineStr">
        <is>
          <t>CNS09</t>
        </is>
      </c>
      <c r="B22" s="7" t="inlineStr">
        <is>
          <t>Information</t>
        </is>
      </c>
      <c r="C22" s="8" t="n">
        <v>0.5</v>
      </c>
      <c r="D22" s="8" t="n">
        <v>0.72</v>
      </c>
      <c r="E22" s="9" t="inlineStr">
        <is>
          <t>CPS Aug 2024 / Dingel-Neiman 2020</t>
        </is>
      </c>
    </row>
    <row r="23">
      <c r="A23" s="10" t="inlineStr">
        <is>
          <t>CNS10</t>
        </is>
      </c>
      <c r="B23" s="7" t="inlineStr">
        <is>
          <t>Finance &amp; Insurance</t>
        </is>
      </c>
      <c r="C23" s="8" t="n">
        <v>0.595</v>
      </c>
      <c r="D23" s="8" t="n">
        <v>0.76</v>
      </c>
      <c r="E23" s="9" t="inlineStr">
        <is>
          <t>CPS Aug 2024 / Dingel-Neiman 2020</t>
        </is>
      </c>
    </row>
    <row r="24">
      <c r="A24" s="10" t="inlineStr">
        <is>
          <t>CNS11</t>
        </is>
      </c>
      <c r="B24" s="7" t="inlineStr">
        <is>
          <t>Real Estate &amp; Rental/Leasing</t>
        </is>
      </c>
      <c r="C24" s="8" t="n">
        <v>0.421</v>
      </c>
      <c r="D24" s="8" t="n">
        <v>0.6</v>
      </c>
      <c r="E24" s="9" t="inlineStr">
        <is>
          <t>CPS Aug 2024 / Dingel-Neiman 2020</t>
        </is>
      </c>
    </row>
    <row r="25">
      <c r="A25" s="10" t="inlineStr">
        <is>
          <t>CNS12</t>
        </is>
      </c>
      <c r="B25" s="7" t="inlineStr">
        <is>
          <t>Professional, Scientific, Tech</t>
        </is>
      </c>
      <c r="C25" s="8" t="n">
        <v>0.597</v>
      </c>
      <c r="D25" s="8" t="n">
        <v>0.8</v>
      </c>
      <c r="E25" s="9" t="inlineStr">
        <is>
          <t>CPS Aug 2024 / Dingel-Neiman 2020</t>
        </is>
      </c>
    </row>
    <row r="26">
      <c r="A26" s="10" t="inlineStr">
        <is>
          <t>CNS13</t>
        </is>
      </c>
      <c r="B26" s="7" t="inlineStr">
        <is>
          <t>Management of Companies</t>
        </is>
      </c>
      <c r="C26" s="8" t="n">
        <v>0.199</v>
      </c>
      <c r="D26" s="8" t="n">
        <v>0.79</v>
      </c>
      <c r="E26" s="9" t="inlineStr">
        <is>
          <t>CPS Aug 2024 / Dingel-Neiman 2020</t>
        </is>
      </c>
    </row>
    <row r="27">
      <c r="A27" s="10" t="inlineStr">
        <is>
          <t>CNS14</t>
        </is>
      </c>
      <c r="B27" s="7" t="inlineStr">
        <is>
          <t>Admin/Support/Waste Mgmt</t>
        </is>
      </c>
      <c r="C27" s="8" t="n">
        <v>0.199</v>
      </c>
      <c r="D27" s="8" t="n">
        <v>0.31</v>
      </c>
      <c r="E27" s="9" t="inlineStr">
        <is>
          <t>CPS Aug 2024 / Dingel-Neiman 2020</t>
        </is>
      </c>
    </row>
    <row r="28">
      <c r="A28" s="10" t="inlineStr">
        <is>
          <t>CNS15</t>
        </is>
      </c>
      <c r="B28" s="7" t="inlineStr">
        <is>
          <t>Educational Services</t>
        </is>
      </c>
      <c r="C28" s="8" t="n">
        <v>0.197</v>
      </c>
      <c r="D28" s="8" t="n">
        <v>0.83</v>
      </c>
      <c r="E28" s="9" t="inlineStr">
        <is>
          <t>CPS Aug 2024 / Dingel-Neiman 2020</t>
        </is>
      </c>
    </row>
    <row r="29">
      <c r="A29" s="10" t="inlineStr">
        <is>
          <t>CNS16</t>
        </is>
      </c>
      <c r="B29" s="7" t="inlineStr">
        <is>
          <t>Healthcare &amp; Social Assistance</t>
        </is>
      </c>
      <c r="C29" s="8" t="n">
        <v>0.181</v>
      </c>
      <c r="D29" s="8" t="n">
        <v>0.25</v>
      </c>
      <c r="E29" s="9" t="inlineStr">
        <is>
          <t>CPS Aug 2024 / Dingel-Neiman 2020</t>
        </is>
      </c>
    </row>
    <row r="30">
      <c r="A30" s="10" t="inlineStr">
        <is>
          <t>CNS17</t>
        </is>
      </c>
      <c r="B30" s="7" t="inlineStr">
        <is>
          <t>Arts, Entertainment, Recreation</t>
        </is>
      </c>
      <c r="C30" s="8" t="n">
        <v>0.187</v>
      </c>
      <c r="D30" s="8" t="n">
        <v>0.3</v>
      </c>
      <c r="E30" s="9" t="inlineStr">
        <is>
          <t>CPS Aug 2024 / Dingel-Neiman 2020</t>
        </is>
      </c>
    </row>
    <row r="31">
      <c r="A31" s="10" t="inlineStr">
        <is>
          <t>CNS18</t>
        </is>
      </c>
      <c r="B31" s="7" t="inlineStr">
        <is>
          <t>Accommodation &amp; Food Services</t>
        </is>
      </c>
      <c r="C31" s="8" t="n">
        <v>0.043</v>
      </c>
      <c r="D31" s="8" t="n">
        <v>0.08</v>
      </c>
      <c r="E31" s="9" t="inlineStr">
        <is>
          <t>CPS Aug 2024 / Dingel-Neiman 2020</t>
        </is>
      </c>
    </row>
    <row r="32">
      <c r="A32" s="10" t="inlineStr">
        <is>
          <t>CNS19</t>
        </is>
      </c>
      <c r="B32" s="7" t="inlineStr">
        <is>
          <t>Other Services</t>
        </is>
      </c>
      <c r="C32" s="8" t="n">
        <v>0.177</v>
      </c>
      <c r="D32" s="8" t="n">
        <v>0.31</v>
      </c>
      <c r="E32" s="9" t="inlineStr">
        <is>
          <t>CPS Aug 2024 / Dingel-Neiman 2020</t>
        </is>
      </c>
    </row>
    <row r="33">
      <c r="A33" s="10" t="inlineStr">
        <is>
          <t>CNS20</t>
        </is>
      </c>
      <c r="B33" s="7" t="inlineStr">
        <is>
          <t>Public Administration</t>
        </is>
      </c>
      <c r="C33" s="8" t="n">
        <v>0.271</v>
      </c>
      <c r="D33" s="8" t="n">
        <v>0.41</v>
      </c>
      <c r="E33" s="9" t="inlineStr">
        <is>
          <t>CPS Aug 2024 / Dingel-Neiman 2020</t>
        </is>
      </c>
    </row>
    <row r="35">
      <c r="A35" s="3" t="inlineStr">
        <is>
          <t>Section 3: Joint Baseline WFH Propensity  wₑₒ = 1 − (1−wₑ)(1−wₒ)</t>
        </is>
      </c>
      <c r="B35" s="4" t="n"/>
      <c r="C35" s="4" t="n"/>
      <c r="D35" s="4" t="n"/>
      <c r="E35" s="4" t="n"/>
      <c r="F35" s="4" t="n"/>
      <c r="G35" s="4" t="n"/>
      <c r="H35" s="4" t="n"/>
    </row>
    <row r="36">
      <c r="A36" s="2" t="inlineStr">
        <is>
          <t>Each cell combines education and industry WFH rates as independent contributors. Higher values = higher baseline remote work probability.</t>
        </is>
      </c>
    </row>
    <row r="37">
      <c r="A37" s="6" t="inlineStr">
        <is>
          <t>LODES</t>
        </is>
      </c>
      <c r="B37" s="5" t="inlineStr">
        <is>
          <t>Industry</t>
        </is>
      </c>
      <c r="C37" s="6" t="inlineStr">
        <is>
          <t>Less than HS</t>
        </is>
      </c>
      <c r="D37" s="6" t="inlineStr">
        <is>
          <t>HS Diploma</t>
        </is>
      </c>
      <c r="E37" s="6" t="inlineStr">
        <is>
          <t>Some College/Assoc.</t>
        </is>
      </c>
      <c r="F37" s="6" t="inlineStr">
        <is>
          <t>Bachelor's</t>
        </is>
      </c>
      <c r="G37" s="6" t="inlineStr">
        <is>
          <t>Advanced</t>
        </is>
      </c>
    </row>
    <row r="38">
      <c r="A38" s="10" t="inlineStr">
        <is>
          <t>CNS01</t>
        </is>
      </c>
      <c r="B38" s="7" t="inlineStr">
        <is>
          <t>Agriculture, Forestry, Fishing</t>
        </is>
      </c>
      <c r="C38" s="11">
        <f>1-(1-C6)*(1-C14)</f>
        <v/>
      </c>
      <c r="D38" s="11">
        <f>1-(1-C7)*(1-C14)</f>
        <v/>
      </c>
      <c r="E38" s="11">
        <f>1-(1-C8)*(1-C14)</f>
        <v/>
      </c>
      <c r="F38" s="11">
        <f>1-(1-C9)*(1-C14)</f>
        <v/>
      </c>
      <c r="G38" s="11">
        <f>1-(1-C10)*(1-C14)</f>
        <v/>
      </c>
    </row>
    <row r="39">
      <c r="A39" s="10" t="inlineStr">
        <is>
          <t>CNS02</t>
        </is>
      </c>
      <c r="B39" s="7" t="inlineStr">
        <is>
          <t>Mining, Quarrying, Oil/Gas</t>
        </is>
      </c>
      <c r="C39" s="11">
        <f>1-(1-C6)*(1-C15)</f>
        <v/>
      </c>
      <c r="D39" s="11">
        <f>1-(1-C7)*(1-C15)</f>
        <v/>
      </c>
      <c r="E39" s="11">
        <f>1-(1-C8)*(1-C15)</f>
        <v/>
      </c>
      <c r="F39" s="11">
        <f>1-(1-C9)*(1-C15)</f>
        <v/>
      </c>
      <c r="G39" s="11">
        <f>1-(1-C10)*(1-C15)</f>
        <v/>
      </c>
    </row>
    <row r="40">
      <c r="A40" s="10" t="inlineStr">
        <is>
          <t>CNS03</t>
        </is>
      </c>
      <c r="B40" s="7" t="inlineStr">
        <is>
          <t>Utilities</t>
        </is>
      </c>
      <c r="C40" s="11">
        <f>1-(1-C6)*(1-C16)</f>
        <v/>
      </c>
      <c r="D40" s="11">
        <f>1-(1-C7)*(1-C16)</f>
        <v/>
      </c>
      <c r="E40" s="11">
        <f>1-(1-C8)*(1-C16)</f>
        <v/>
      </c>
      <c r="F40" s="11">
        <f>1-(1-C9)*(1-C16)</f>
        <v/>
      </c>
      <c r="G40" s="11">
        <f>1-(1-C10)*(1-C16)</f>
        <v/>
      </c>
    </row>
    <row r="41">
      <c r="A41" s="10" t="inlineStr">
        <is>
          <t>CNS04</t>
        </is>
      </c>
      <c r="B41" s="7" t="inlineStr">
        <is>
          <t>Construction</t>
        </is>
      </c>
      <c r="C41" s="11">
        <f>1-(1-C6)*(1-C17)</f>
        <v/>
      </c>
      <c r="D41" s="11">
        <f>1-(1-C7)*(1-C17)</f>
        <v/>
      </c>
      <c r="E41" s="11">
        <f>1-(1-C8)*(1-C17)</f>
        <v/>
      </c>
      <c r="F41" s="11">
        <f>1-(1-C9)*(1-C17)</f>
        <v/>
      </c>
      <c r="G41" s="11">
        <f>1-(1-C10)*(1-C17)</f>
        <v/>
      </c>
    </row>
    <row r="42">
      <c r="A42" s="10" t="inlineStr">
        <is>
          <t>CNS05</t>
        </is>
      </c>
      <c r="B42" s="7" t="inlineStr">
        <is>
          <t>Manufacturing</t>
        </is>
      </c>
      <c r="C42" s="11">
        <f>1-(1-C6)*(1-C18)</f>
        <v/>
      </c>
      <c r="D42" s="11">
        <f>1-(1-C7)*(1-C18)</f>
        <v/>
      </c>
      <c r="E42" s="11">
        <f>1-(1-C8)*(1-C18)</f>
        <v/>
      </c>
      <c r="F42" s="11">
        <f>1-(1-C9)*(1-C18)</f>
        <v/>
      </c>
      <c r="G42" s="11">
        <f>1-(1-C10)*(1-C18)</f>
        <v/>
      </c>
    </row>
    <row r="43">
      <c r="A43" s="10" t="inlineStr">
        <is>
          <t>CNS06</t>
        </is>
      </c>
      <c r="B43" s="7" t="inlineStr">
        <is>
          <t>Wholesale Trade</t>
        </is>
      </c>
      <c r="C43" s="11">
        <f>1-(1-C6)*(1-C19)</f>
        <v/>
      </c>
      <c r="D43" s="11">
        <f>1-(1-C7)*(1-C19)</f>
        <v/>
      </c>
      <c r="E43" s="11">
        <f>1-(1-C8)*(1-C19)</f>
        <v/>
      </c>
      <c r="F43" s="11">
        <f>1-(1-C9)*(1-C19)</f>
        <v/>
      </c>
      <c r="G43" s="11">
        <f>1-(1-C10)*(1-C19)</f>
        <v/>
      </c>
    </row>
    <row r="44">
      <c r="A44" s="10" t="inlineStr">
        <is>
          <t>CNS07</t>
        </is>
      </c>
      <c r="B44" s="7" t="inlineStr">
        <is>
          <t>Retail Trade</t>
        </is>
      </c>
      <c r="C44" s="11">
        <f>1-(1-C6)*(1-C20)</f>
        <v/>
      </c>
      <c r="D44" s="11">
        <f>1-(1-C7)*(1-C20)</f>
        <v/>
      </c>
      <c r="E44" s="11">
        <f>1-(1-C8)*(1-C20)</f>
        <v/>
      </c>
      <c r="F44" s="11">
        <f>1-(1-C9)*(1-C20)</f>
        <v/>
      </c>
      <c r="G44" s="11">
        <f>1-(1-C10)*(1-C20)</f>
        <v/>
      </c>
    </row>
    <row r="45">
      <c r="A45" s="10" t="inlineStr">
        <is>
          <t>CNS08</t>
        </is>
      </c>
      <c r="B45" s="7" t="inlineStr">
        <is>
          <t>Transportation &amp; Warehousing</t>
        </is>
      </c>
      <c r="C45" s="11">
        <f>1-(1-C6)*(1-C21)</f>
        <v/>
      </c>
      <c r="D45" s="11">
        <f>1-(1-C7)*(1-C21)</f>
        <v/>
      </c>
      <c r="E45" s="11">
        <f>1-(1-C8)*(1-C21)</f>
        <v/>
      </c>
      <c r="F45" s="11">
        <f>1-(1-C9)*(1-C21)</f>
        <v/>
      </c>
      <c r="G45" s="11">
        <f>1-(1-C10)*(1-C21)</f>
        <v/>
      </c>
    </row>
    <row r="46">
      <c r="A46" s="10" t="inlineStr">
        <is>
          <t>CNS09</t>
        </is>
      </c>
      <c r="B46" s="7" t="inlineStr">
        <is>
          <t>Information</t>
        </is>
      </c>
      <c r="C46" s="11">
        <f>1-(1-C6)*(1-C22)</f>
        <v/>
      </c>
      <c r="D46" s="11">
        <f>1-(1-C7)*(1-C22)</f>
        <v/>
      </c>
      <c r="E46" s="11">
        <f>1-(1-C8)*(1-C22)</f>
        <v/>
      </c>
      <c r="F46" s="11">
        <f>1-(1-C9)*(1-C22)</f>
        <v/>
      </c>
      <c r="G46" s="11">
        <f>1-(1-C10)*(1-C22)</f>
        <v/>
      </c>
    </row>
    <row r="47">
      <c r="A47" s="10" t="inlineStr">
        <is>
          <t>CNS10</t>
        </is>
      </c>
      <c r="B47" s="7" t="inlineStr">
        <is>
          <t>Finance &amp; Insurance</t>
        </is>
      </c>
      <c r="C47" s="11">
        <f>1-(1-C6)*(1-C23)</f>
        <v/>
      </c>
      <c r="D47" s="11">
        <f>1-(1-C7)*(1-C23)</f>
        <v/>
      </c>
      <c r="E47" s="11">
        <f>1-(1-C8)*(1-C23)</f>
        <v/>
      </c>
      <c r="F47" s="11">
        <f>1-(1-C9)*(1-C23)</f>
        <v/>
      </c>
      <c r="G47" s="11">
        <f>1-(1-C10)*(1-C23)</f>
        <v/>
      </c>
    </row>
    <row r="48">
      <c r="A48" s="10" t="inlineStr">
        <is>
          <t>CNS11</t>
        </is>
      </c>
      <c r="B48" s="7" t="inlineStr">
        <is>
          <t>Real Estate &amp; Rental/Leasing</t>
        </is>
      </c>
      <c r="C48" s="11">
        <f>1-(1-C6)*(1-C24)</f>
        <v/>
      </c>
      <c r="D48" s="11">
        <f>1-(1-C7)*(1-C24)</f>
        <v/>
      </c>
      <c r="E48" s="11">
        <f>1-(1-C8)*(1-C24)</f>
        <v/>
      </c>
      <c r="F48" s="11">
        <f>1-(1-C9)*(1-C24)</f>
        <v/>
      </c>
      <c r="G48" s="11">
        <f>1-(1-C10)*(1-C24)</f>
        <v/>
      </c>
    </row>
    <row r="49">
      <c r="A49" s="10" t="inlineStr">
        <is>
          <t>CNS12</t>
        </is>
      </c>
      <c r="B49" s="7" t="inlineStr">
        <is>
          <t>Professional, Scientific, Tech</t>
        </is>
      </c>
      <c r="C49" s="11">
        <f>1-(1-C6)*(1-C25)</f>
        <v/>
      </c>
      <c r="D49" s="11">
        <f>1-(1-C7)*(1-C25)</f>
        <v/>
      </c>
      <c r="E49" s="11">
        <f>1-(1-C8)*(1-C25)</f>
        <v/>
      </c>
      <c r="F49" s="11">
        <f>1-(1-C9)*(1-C25)</f>
        <v/>
      </c>
      <c r="G49" s="11">
        <f>1-(1-C10)*(1-C25)</f>
        <v/>
      </c>
    </row>
    <row r="50">
      <c r="A50" s="10" t="inlineStr">
        <is>
          <t>CNS13</t>
        </is>
      </c>
      <c r="B50" s="7" t="inlineStr">
        <is>
          <t>Management of Companies</t>
        </is>
      </c>
      <c r="C50" s="11">
        <f>1-(1-C6)*(1-C26)</f>
        <v/>
      </c>
      <c r="D50" s="11">
        <f>1-(1-C7)*(1-C26)</f>
        <v/>
      </c>
      <c r="E50" s="11">
        <f>1-(1-C8)*(1-C26)</f>
        <v/>
      </c>
      <c r="F50" s="11">
        <f>1-(1-C9)*(1-C26)</f>
        <v/>
      </c>
      <c r="G50" s="11">
        <f>1-(1-C10)*(1-C26)</f>
        <v/>
      </c>
    </row>
    <row r="51">
      <c r="A51" s="10" t="inlineStr">
        <is>
          <t>CNS14</t>
        </is>
      </c>
      <c r="B51" s="7" t="inlineStr">
        <is>
          <t>Admin/Support/Waste Mgmt</t>
        </is>
      </c>
      <c r="C51" s="11">
        <f>1-(1-C6)*(1-C27)</f>
        <v/>
      </c>
      <c r="D51" s="11">
        <f>1-(1-C7)*(1-C27)</f>
        <v/>
      </c>
      <c r="E51" s="11">
        <f>1-(1-C8)*(1-C27)</f>
        <v/>
      </c>
      <c r="F51" s="11">
        <f>1-(1-C9)*(1-C27)</f>
        <v/>
      </c>
      <c r="G51" s="11">
        <f>1-(1-C10)*(1-C27)</f>
        <v/>
      </c>
    </row>
    <row r="52">
      <c r="A52" s="10" t="inlineStr">
        <is>
          <t>CNS15</t>
        </is>
      </c>
      <c r="B52" s="7" t="inlineStr">
        <is>
          <t>Educational Services</t>
        </is>
      </c>
      <c r="C52" s="11">
        <f>1-(1-C6)*(1-C28)</f>
        <v/>
      </c>
      <c r="D52" s="11">
        <f>1-(1-C7)*(1-C28)</f>
        <v/>
      </c>
      <c r="E52" s="11">
        <f>1-(1-C8)*(1-C28)</f>
        <v/>
      </c>
      <c r="F52" s="11">
        <f>1-(1-C9)*(1-C28)</f>
        <v/>
      </c>
      <c r="G52" s="11">
        <f>1-(1-C10)*(1-C28)</f>
        <v/>
      </c>
    </row>
    <row r="53">
      <c r="A53" s="10" t="inlineStr">
        <is>
          <t>CNS16</t>
        </is>
      </c>
      <c r="B53" s="7" t="inlineStr">
        <is>
          <t>Healthcare &amp; Social Assistance</t>
        </is>
      </c>
      <c r="C53" s="11">
        <f>1-(1-C6)*(1-C29)</f>
        <v/>
      </c>
      <c r="D53" s="11">
        <f>1-(1-C7)*(1-C29)</f>
        <v/>
      </c>
      <c r="E53" s="11">
        <f>1-(1-C8)*(1-C29)</f>
        <v/>
      </c>
      <c r="F53" s="11">
        <f>1-(1-C9)*(1-C29)</f>
        <v/>
      </c>
      <c r="G53" s="11">
        <f>1-(1-C10)*(1-C29)</f>
        <v/>
      </c>
    </row>
    <row r="54">
      <c r="A54" s="10" t="inlineStr">
        <is>
          <t>CNS17</t>
        </is>
      </c>
      <c r="B54" s="7" t="inlineStr">
        <is>
          <t>Arts, Entertainment, Recreation</t>
        </is>
      </c>
      <c r="C54" s="11">
        <f>1-(1-C6)*(1-C30)</f>
        <v/>
      </c>
      <c r="D54" s="11">
        <f>1-(1-C7)*(1-C30)</f>
        <v/>
      </c>
      <c r="E54" s="11">
        <f>1-(1-C8)*(1-C30)</f>
        <v/>
      </c>
      <c r="F54" s="11">
        <f>1-(1-C9)*(1-C30)</f>
        <v/>
      </c>
      <c r="G54" s="11">
        <f>1-(1-C10)*(1-C30)</f>
        <v/>
      </c>
    </row>
    <row r="55">
      <c r="A55" s="10" t="inlineStr">
        <is>
          <t>CNS18</t>
        </is>
      </c>
      <c r="B55" s="7" t="inlineStr">
        <is>
          <t>Accommodation &amp; Food Services</t>
        </is>
      </c>
      <c r="C55" s="11">
        <f>1-(1-C6)*(1-C31)</f>
        <v/>
      </c>
      <c r="D55" s="11">
        <f>1-(1-C7)*(1-C31)</f>
        <v/>
      </c>
      <c r="E55" s="11">
        <f>1-(1-C8)*(1-C31)</f>
        <v/>
      </c>
      <c r="F55" s="11">
        <f>1-(1-C9)*(1-C31)</f>
        <v/>
      </c>
      <c r="G55" s="11">
        <f>1-(1-C10)*(1-C31)</f>
        <v/>
      </c>
    </row>
    <row r="56">
      <c r="A56" s="10" t="inlineStr">
        <is>
          <t>CNS19</t>
        </is>
      </c>
      <c r="B56" s="7" t="inlineStr">
        <is>
          <t>Other Services</t>
        </is>
      </c>
      <c r="C56" s="11">
        <f>1-(1-C6)*(1-C32)</f>
        <v/>
      </c>
      <c r="D56" s="11">
        <f>1-(1-C7)*(1-C32)</f>
        <v/>
      </c>
      <c r="E56" s="11">
        <f>1-(1-C8)*(1-C32)</f>
        <v/>
      </c>
      <c r="F56" s="11">
        <f>1-(1-C9)*(1-C32)</f>
        <v/>
      </c>
      <c r="G56" s="11">
        <f>1-(1-C10)*(1-C32)</f>
        <v/>
      </c>
    </row>
    <row r="57">
      <c r="A57" s="10" t="inlineStr">
        <is>
          <t>CNS20</t>
        </is>
      </c>
      <c r="B57" s="7" t="inlineStr">
        <is>
          <t>Public Administration</t>
        </is>
      </c>
      <c r="C57" s="11">
        <f>1-(1-C6)*(1-C33)</f>
        <v/>
      </c>
      <c r="D57" s="11">
        <f>1-(1-C7)*(1-C33)</f>
        <v/>
      </c>
      <c r="E57" s="11">
        <f>1-(1-C8)*(1-C33)</f>
        <v/>
      </c>
      <c r="F57" s="11">
        <f>1-(1-C9)*(1-C33)</f>
        <v/>
      </c>
      <c r="G57" s="11">
        <f>1-(1-C10)*(1-C33)</f>
        <v/>
      </c>
    </row>
    <row r="59">
      <c r="A59" s="3" t="inlineStr">
        <is>
          <t>Section 4: Joint Upper Bound  uₑₒ = 1 − (1−uₑ)(1−uₒ)</t>
        </is>
      </c>
      <c r="B59" s="4" t="n"/>
      <c r="C59" s="4" t="n"/>
      <c r="D59" s="4" t="n"/>
      <c r="E59" s="4" t="n"/>
      <c r="F59" s="4" t="n"/>
      <c r="G59" s="4" t="n"/>
      <c r="H59" s="4" t="n"/>
    </row>
    <row r="60">
      <c r="A60" s="2" t="inlineStr">
        <is>
          <t>Maximum feasible WFH rate for each education-industry segment, derived from Dingel-Neiman (2020) O*NET classifications.</t>
        </is>
      </c>
    </row>
    <row r="61">
      <c r="A61" s="6" t="inlineStr">
        <is>
          <t>LODES</t>
        </is>
      </c>
      <c r="B61" s="5" t="inlineStr">
        <is>
          <t>Industry</t>
        </is>
      </c>
      <c r="C61" s="6" t="inlineStr">
        <is>
          <t>Less than HS</t>
        </is>
      </c>
      <c r="D61" s="6" t="inlineStr">
        <is>
          <t>HS Diploma</t>
        </is>
      </c>
      <c r="E61" s="6" t="inlineStr">
        <is>
          <t>Some College/Assoc.</t>
        </is>
      </c>
      <c r="F61" s="6" t="inlineStr">
        <is>
          <t>Bachelor's</t>
        </is>
      </c>
      <c r="G61" s="6" t="inlineStr">
        <is>
          <t>Advanced</t>
        </is>
      </c>
    </row>
    <row r="62">
      <c r="A62" s="10" t="inlineStr">
        <is>
          <t>CNS01</t>
        </is>
      </c>
      <c r="B62" s="7" t="inlineStr">
        <is>
          <t>Agriculture, Forestry, Fishing</t>
        </is>
      </c>
      <c r="C62" s="11">
        <f>1-(1-D6)*(1-D14)</f>
        <v/>
      </c>
      <c r="D62" s="11">
        <f>1-(1-D7)*(1-D14)</f>
        <v/>
      </c>
      <c r="E62" s="11">
        <f>1-(1-D8)*(1-D14)</f>
        <v/>
      </c>
      <c r="F62" s="11">
        <f>1-(1-D9)*(1-D14)</f>
        <v/>
      </c>
      <c r="G62" s="11">
        <f>1-(1-D10)*(1-D14)</f>
        <v/>
      </c>
    </row>
    <row r="63">
      <c r="A63" s="10" t="inlineStr">
        <is>
          <t>CNS02</t>
        </is>
      </c>
      <c r="B63" s="7" t="inlineStr">
        <is>
          <t>Mining, Quarrying, Oil/Gas</t>
        </is>
      </c>
      <c r="C63" s="11">
        <f>1-(1-D6)*(1-D15)</f>
        <v/>
      </c>
      <c r="D63" s="11">
        <f>1-(1-D7)*(1-D15)</f>
        <v/>
      </c>
      <c r="E63" s="11">
        <f>1-(1-D8)*(1-D15)</f>
        <v/>
      </c>
      <c r="F63" s="11">
        <f>1-(1-D9)*(1-D15)</f>
        <v/>
      </c>
      <c r="G63" s="11">
        <f>1-(1-D10)*(1-D15)</f>
        <v/>
      </c>
    </row>
    <row r="64">
      <c r="A64" s="10" t="inlineStr">
        <is>
          <t>CNS03</t>
        </is>
      </c>
      <c r="B64" s="7" t="inlineStr">
        <is>
          <t>Utilities</t>
        </is>
      </c>
      <c r="C64" s="11">
        <f>1-(1-D6)*(1-D16)</f>
        <v/>
      </c>
      <c r="D64" s="11">
        <f>1-(1-D7)*(1-D16)</f>
        <v/>
      </c>
      <c r="E64" s="11">
        <f>1-(1-D8)*(1-D16)</f>
        <v/>
      </c>
      <c r="F64" s="11">
        <f>1-(1-D9)*(1-D16)</f>
        <v/>
      </c>
      <c r="G64" s="11">
        <f>1-(1-D10)*(1-D16)</f>
        <v/>
      </c>
    </row>
    <row r="65">
      <c r="A65" s="10" t="inlineStr">
        <is>
          <t>CNS04</t>
        </is>
      </c>
      <c r="B65" s="7" t="inlineStr">
        <is>
          <t>Construction</t>
        </is>
      </c>
      <c r="C65" s="11">
        <f>1-(1-D6)*(1-D17)</f>
        <v/>
      </c>
      <c r="D65" s="11">
        <f>1-(1-D7)*(1-D17)</f>
        <v/>
      </c>
      <c r="E65" s="11">
        <f>1-(1-D8)*(1-D17)</f>
        <v/>
      </c>
      <c r="F65" s="11">
        <f>1-(1-D9)*(1-D17)</f>
        <v/>
      </c>
      <c r="G65" s="11">
        <f>1-(1-D10)*(1-D17)</f>
        <v/>
      </c>
    </row>
    <row r="66">
      <c r="A66" s="10" t="inlineStr">
        <is>
          <t>CNS05</t>
        </is>
      </c>
      <c r="B66" s="7" t="inlineStr">
        <is>
          <t>Manufacturing</t>
        </is>
      </c>
      <c r="C66" s="11">
        <f>1-(1-D6)*(1-D18)</f>
        <v/>
      </c>
      <c r="D66" s="11">
        <f>1-(1-D7)*(1-D18)</f>
        <v/>
      </c>
      <c r="E66" s="11">
        <f>1-(1-D8)*(1-D18)</f>
        <v/>
      </c>
      <c r="F66" s="11">
        <f>1-(1-D9)*(1-D18)</f>
        <v/>
      </c>
      <c r="G66" s="11">
        <f>1-(1-D10)*(1-D18)</f>
        <v/>
      </c>
    </row>
    <row r="67">
      <c r="A67" s="10" t="inlineStr">
        <is>
          <t>CNS06</t>
        </is>
      </c>
      <c r="B67" s="7" t="inlineStr">
        <is>
          <t>Wholesale Trade</t>
        </is>
      </c>
      <c r="C67" s="11">
        <f>1-(1-D6)*(1-D19)</f>
        <v/>
      </c>
      <c r="D67" s="11">
        <f>1-(1-D7)*(1-D19)</f>
        <v/>
      </c>
      <c r="E67" s="11">
        <f>1-(1-D8)*(1-D19)</f>
        <v/>
      </c>
      <c r="F67" s="11">
        <f>1-(1-D9)*(1-D19)</f>
        <v/>
      </c>
      <c r="G67" s="11">
        <f>1-(1-D10)*(1-D19)</f>
        <v/>
      </c>
    </row>
    <row r="68">
      <c r="A68" s="10" t="inlineStr">
        <is>
          <t>CNS07</t>
        </is>
      </c>
      <c r="B68" s="7" t="inlineStr">
        <is>
          <t>Retail Trade</t>
        </is>
      </c>
      <c r="C68" s="11">
        <f>1-(1-D6)*(1-D20)</f>
        <v/>
      </c>
      <c r="D68" s="11">
        <f>1-(1-D7)*(1-D20)</f>
        <v/>
      </c>
      <c r="E68" s="11">
        <f>1-(1-D8)*(1-D20)</f>
        <v/>
      </c>
      <c r="F68" s="11">
        <f>1-(1-D9)*(1-D20)</f>
        <v/>
      </c>
      <c r="G68" s="11">
        <f>1-(1-D10)*(1-D20)</f>
        <v/>
      </c>
    </row>
    <row r="69">
      <c r="A69" s="10" t="inlineStr">
        <is>
          <t>CNS08</t>
        </is>
      </c>
      <c r="B69" s="7" t="inlineStr">
        <is>
          <t>Transportation &amp; Warehousing</t>
        </is>
      </c>
      <c r="C69" s="11">
        <f>1-(1-D6)*(1-D21)</f>
        <v/>
      </c>
      <c r="D69" s="11">
        <f>1-(1-D7)*(1-D21)</f>
        <v/>
      </c>
      <c r="E69" s="11">
        <f>1-(1-D8)*(1-D21)</f>
        <v/>
      </c>
      <c r="F69" s="11">
        <f>1-(1-D9)*(1-D21)</f>
        <v/>
      </c>
      <c r="G69" s="11">
        <f>1-(1-D10)*(1-D21)</f>
        <v/>
      </c>
    </row>
    <row r="70">
      <c r="A70" s="10" t="inlineStr">
        <is>
          <t>CNS09</t>
        </is>
      </c>
      <c r="B70" s="7" t="inlineStr">
        <is>
          <t>Information</t>
        </is>
      </c>
      <c r="C70" s="11">
        <f>1-(1-D6)*(1-D22)</f>
        <v/>
      </c>
      <c r="D70" s="11">
        <f>1-(1-D7)*(1-D22)</f>
        <v/>
      </c>
      <c r="E70" s="11">
        <f>1-(1-D8)*(1-D22)</f>
        <v/>
      </c>
      <c r="F70" s="11">
        <f>1-(1-D9)*(1-D22)</f>
        <v/>
      </c>
      <c r="G70" s="11">
        <f>1-(1-D10)*(1-D22)</f>
        <v/>
      </c>
    </row>
    <row r="71">
      <c r="A71" s="10" t="inlineStr">
        <is>
          <t>CNS10</t>
        </is>
      </c>
      <c r="B71" s="7" t="inlineStr">
        <is>
          <t>Finance &amp; Insurance</t>
        </is>
      </c>
      <c r="C71" s="11">
        <f>1-(1-D6)*(1-D23)</f>
        <v/>
      </c>
      <c r="D71" s="11">
        <f>1-(1-D7)*(1-D23)</f>
        <v/>
      </c>
      <c r="E71" s="11">
        <f>1-(1-D8)*(1-D23)</f>
        <v/>
      </c>
      <c r="F71" s="11">
        <f>1-(1-D9)*(1-D23)</f>
        <v/>
      </c>
      <c r="G71" s="11">
        <f>1-(1-D10)*(1-D23)</f>
        <v/>
      </c>
    </row>
    <row r="72">
      <c r="A72" s="10" t="inlineStr">
        <is>
          <t>CNS11</t>
        </is>
      </c>
      <c r="B72" s="7" t="inlineStr">
        <is>
          <t>Real Estate &amp; Rental/Leasing</t>
        </is>
      </c>
      <c r="C72" s="11">
        <f>1-(1-D6)*(1-D24)</f>
        <v/>
      </c>
      <c r="D72" s="11">
        <f>1-(1-D7)*(1-D24)</f>
        <v/>
      </c>
      <c r="E72" s="11">
        <f>1-(1-D8)*(1-D24)</f>
        <v/>
      </c>
      <c r="F72" s="11">
        <f>1-(1-D9)*(1-D24)</f>
        <v/>
      </c>
      <c r="G72" s="11">
        <f>1-(1-D10)*(1-D24)</f>
        <v/>
      </c>
    </row>
    <row r="73">
      <c r="A73" s="10" t="inlineStr">
        <is>
          <t>CNS12</t>
        </is>
      </c>
      <c r="B73" s="7" t="inlineStr">
        <is>
          <t>Professional, Scientific, Tech</t>
        </is>
      </c>
      <c r="C73" s="11">
        <f>1-(1-D6)*(1-D25)</f>
        <v/>
      </c>
      <c r="D73" s="11">
        <f>1-(1-D7)*(1-D25)</f>
        <v/>
      </c>
      <c r="E73" s="11">
        <f>1-(1-D8)*(1-D25)</f>
        <v/>
      </c>
      <c r="F73" s="11">
        <f>1-(1-D9)*(1-D25)</f>
        <v/>
      </c>
      <c r="G73" s="11">
        <f>1-(1-D10)*(1-D25)</f>
        <v/>
      </c>
    </row>
    <row r="74">
      <c r="A74" s="10" t="inlineStr">
        <is>
          <t>CNS13</t>
        </is>
      </c>
      <c r="B74" s="7" t="inlineStr">
        <is>
          <t>Management of Companies</t>
        </is>
      </c>
      <c r="C74" s="11">
        <f>1-(1-D6)*(1-D26)</f>
        <v/>
      </c>
      <c r="D74" s="11">
        <f>1-(1-D7)*(1-D26)</f>
        <v/>
      </c>
      <c r="E74" s="11">
        <f>1-(1-D8)*(1-D26)</f>
        <v/>
      </c>
      <c r="F74" s="11">
        <f>1-(1-D9)*(1-D26)</f>
        <v/>
      </c>
      <c r="G74" s="11">
        <f>1-(1-D10)*(1-D26)</f>
        <v/>
      </c>
    </row>
    <row r="75">
      <c r="A75" s="10" t="inlineStr">
        <is>
          <t>CNS14</t>
        </is>
      </c>
      <c r="B75" s="7" t="inlineStr">
        <is>
          <t>Admin/Support/Waste Mgmt</t>
        </is>
      </c>
      <c r="C75" s="11">
        <f>1-(1-D6)*(1-D27)</f>
        <v/>
      </c>
      <c r="D75" s="11">
        <f>1-(1-D7)*(1-D27)</f>
        <v/>
      </c>
      <c r="E75" s="11">
        <f>1-(1-D8)*(1-D27)</f>
        <v/>
      </c>
      <c r="F75" s="11">
        <f>1-(1-D9)*(1-D27)</f>
        <v/>
      </c>
      <c r="G75" s="11">
        <f>1-(1-D10)*(1-D27)</f>
        <v/>
      </c>
    </row>
    <row r="76">
      <c r="A76" s="10" t="inlineStr">
        <is>
          <t>CNS15</t>
        </is>
      </c>
      <c r="B76" s="7" t="inlineStr">
        <is>
          <t>Educational Services</t>
        </is>
      </c>
      <c r="C76" s="11">
        <f>1-(1-D6)*(1-D28)</f>
        <v/>
      </c>
      <c r="D76" s="11">
        <f>1-(1-D7)*(1-D28)</f>
        <v/>
      </c>
      <c r="E76" s="11">
        <f>1-(1-D8)*(1-D28)</f>
        <v/>
      </c>
      <c r="F76" s="11">
        <f>1-(1-D9)*(1-D28)</f>
        <v/>
      </c>
      <c r="G76" s="11">
        <f>1-(1-D10)*(1-D28)</f>
        <v/>
      </c>
    </row>
    <row r="77">
      <c r="A77" s="10" t="inlineStr">
        <is>
          <t>CNS16</t>
        </is>
      </c>
      <c r="B77" s="7" t="inlineStr">
        <is>
          <t>Healthcare &amp; Social Assistance</t>
        </is>
      </c>
      <c r="C77" s="11">
        <f>1-(1-D6)*(1-D29)</f>
        <v/>
      </c>
      <c r="D77" s="11">
        <f>1-(1-D7)*(1-D29)</f>
        <v/>
      </c>
      <c r="E77" s="11">
        <f>1-(1-D8)*(1-D29)</f>
        <v/>
      </c>
      <c r="F77" s="11">
        <f>1-(1-D9)*(1-D29)</f>
        <v/>
      </c>
      <c r="G77" s="11">
        <f>1-(1-D10)*(1-D29)</f>
        <v/>
      </c>
    </row>
    <row r="78">
      <c r="A78" s="10" t="inlineStr">
        <is>
          <t>CNS17</t>
        </is>
      </c>
      <c r="B78" s="7" t="inlineStr">
        <is>
          <t>Arts, Entertainment, Recreation</t>
        </is>
      </c>
      <c r="C78" s="11">
        <f>1-(1-D6)*(1-D30)</f>
        <v/>
      </c>
      <c r="D78" s="11">
        <f>1-(1-D7)*(1-D30)</f>
        <v/>
      </c>
      <c r="E78" s="11">
        <f>1-(1-D8)*(1-D30)</f>
        <v/>
      </c>
      <c r="F78" s="11">
        <f>1-(1-D9)*(1-D30)</f>
        <v/>
      </c>
      <c r="G78" s="11">
        <f>1-(1-D10)*(1-D30)</f>
        <v/>
      </c>
    </row>
    <row r="79">
      <c r="A79" s="10" t="inlineStr">
        <is>
          <t>CNS18</t>
        </is>
      </c>
      <c r="B79" s="7" t="inlineStr">
        <is>
          <t>Accommodation &amp; Food Services</t>
        </is>
      </c>
      <c r="C79" s="11">
        <f>1-(1-D6)*(1-D31)</f>
        <v/>
      </c>
      <c r="D79" s="11">
        <f>1-(1-D7)*(1-D31)</f>
        <v/>
      </c>
      <c r="E79" s="11">
        <f>1-(1-D8)*(1-D31)</f>
        <v/>
      </c>
      <c r="F79" s="11">
        <f>1-(1-D9)*(1-D31)</f>
        <v/>
      </c>
      <c r="G79" s="11">
        <f>1-(1-D10)*(1-D31)</f>
        <v/>
      </c>
    </row>
    <row r="80">
      <c r="A80" s="10" t="inlineStr">
        <is>
          <t>CNS19</t>
        </is>
      </c>
      <c r="B80" s="7" t="inlineStr">
        <is>
          <t>Other Services</t>
        </is>
      </c>
      <c r="C80" s="11">
        <f>1-(1-D6)*(1-D32)</f>
        <v/>
      </c>
      <c r="D80" s="11">
        <f>1-(1-D7)*(1-D32)</f>
        <v/>
      </c>
      <c r="E80" s="11">
        <f>1-(1-D8)*(1-D32)</f>
        <v/>
      </c>
      <c r="F80" s="11">
        <f>1-(1-D9)*(1-D32)</f>
        <v/>
      </c>
      <c r="G80" s="11">
        <f>1-(1-D10)*(1-D32)</f>
        <v/>
      </c>
    </row>
    <row r="81">
      <c r="A81" s="10" t="inlineStr">
        <is>
          <t>CNS20</t>
        </is>
      </c>
      <c r="B81" s="7" t="inlineStr">
        <is>
          <t>Public Administration</t>
        </is>
      </c>
      <c r="C81" s="11">
        <f>1-(1-D6)*(1-D33)</f>
        <v/>
      </c>
      <c r="D81" s="11">
        <f>1-(1-D7)*(1-D33)</f>
        <v/>
      </c>
      <c r="E81" s="11">
        <f>1-(1-D8)*(1-D33)</f>
        <v/>
      </c>
      <c r="F81" s="11">
        <f>1-(1-D9)*(1-D33)</f>
        <v/>
      </c>
      <c r="G81" s="11">
        <f>1-(1-D10)*(1-D33)</f>
        <v/>
      </c>
    </row>
  </sheetData>
  <mergeCells count="8">
    <mergeCell ref="A12:H12"/>
    <mergeCell ref="A4:H4"/>
    <mergeCell ref="A35:H35"/>
    <mergeCell ref="A59:H59"/>
    <mergeCell ref="A2:H2"/>
    <mergeCell ref="A60:H60"/>
    <mergeCell ref="A36:H3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Example 1: Two Census Tracts Within New York City</t>
        </is>
      </c>
    </row>
    <row r="2">
      <c r="A2" s="2" t="inlineStr">
        <is>
          <t>Tract 7, Financial District (workplace: finance/professional) vs. Tract 184, East Harlem (workplace: healthcare/education)</t>
        </is>
      </c>
    </row>
    <row r="4">
      <c r="A4" s="3" t="inlineStr">
        <is>
          <t>Scenario Parameter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12" t="inlineStr"/>
      <c r="B5" s="13" t="inlineStr">
        <is>
          <t>α (proportional WFH scaling factor)</t>
        </is>
      </c>
      <c r="C5" s="14" t="n">
        <v>0.25</v>
      </c>
    </row>
    <row r="6">
      <c r="B6" s="2" t="inlineStr">
        <is>
          <t>Δwₑₒ = α · wₑₒ  →  A positive α means WFH increases proportionally across all segments.</t>
        </is>
      </c>
    </row>
    <row r="8">
      <c r="A8" s="3" t="inlineStr">
        <is>
          <t>Step 1: Demographic Inputs for the Two Tracts</t>
        </is>
      </c>
      <c r="B8" s="4" t="n"/>
      <c r="C8" s="4" t="n"/>
      <c r="D8" s="4" t="n"/>
      <c r="E8" s="4" t="n"/>
      <c r="F8" s="4" t="n"/>
      <c r="G8" s="4" t="n"/>
      <c r="H8" s="4" t="n"/>
    </row>
    <row r="9">
      <c r="B9" s="5" t="inlineStr"/>
      <c r="C9" s="6" t="inlineStr">
        <is>
          <t>Zone i</t>
        </is>
      </c>
      <c r="D9" s="6" t="inlineStr">
        <is>
          <t>Zone j</t>
        </is>
      </c>
    </row>
    <row r="10">
      <c r="B10" s="7" t="inlineStr">
        <is>
          <t>Tract Name</t>
        </is>
      </c>
      <c r="C10" s="15" t="inlineStr">
        <is>
          <t>Tract 7, Financial Dist.</t>
        </is>
      </c>
      <c r="D10" s="15" t="inlineStr">
        <is>
          <t>Tract 184, East Harlem</t>
        </is>
      </c>
    </row>
    <row r="11">
      <c r="B11" s="7" t="inlineStr">
        <is>
          <t>FIPS Code</t>
        </is>
      </c>
      <c r="C11" s="16" t="inlineStr">
        <is>
          <t>36061000700</t>
        </is>
      </c>
      <c r="D11" s="16" t="inlineStr">
        <is>
          <t>36061018400</t>
        </is>
      </c>
    </row>
    <row r="13">
      <c r="A13" s="17" t="inlineStr">
        <is>
          <t>Education Shares at Residence (Eᵣₑ) — from ACS Table B15003</t>
        </is>
      </c>
      <c r="B13" s="18" t="n"/>
      <c r="C13" s="18" t="n"/>
      <c r="D13" s="18" t="n"/>
      <c r="E13" s="18" t="n"/>
      <c r="F13" s="18" t="n"/>
      <c r="G13" s="18" t="n"/>
      <c r="H13" s="18" t="n"/>
    </row>
    <row r="14">
      <c r="A14" s="5" t="inlineStr"/>
      <c r="B14" s="5" t="inlineStr"/>
      <c r="C14" s="6" t="inlineStr">
        <is>
          <t>Less than HS</t>
        </is>
      </c>
      <c r="D14" s="6" t="inlineStr">
        <is>
          <t>HS Diploma</t>
        </is>
      </c>
      <c r="E14" s="6" t="inlineStr">
        <is>
          <t>Some College/Assoc.</t>
        </is>
      </c>
      <c r="F14" s="6" t="inlineStr">
        <is>
          <t>Bachelor's</t>
        </is>
      </c>
      <c r="G14" s="6" t="inlineStr">
        <is>
          <t>Advanced</t>
        </is>
      </c>
      <c r="H14" s="6" t="inlineStr">
        <is>
          <t>Total</t>
        </is>
      </c>
    </row>
    <row r="15">
      <c r="A15" s="12" t="inlineStr"/>
      <c r="B15" s="7" t="inlineStr">
        <is>
          <t>Zone i: Tract 7, Financial Dist.</t>
        </is>
      </c>
      <c r="C15" s="8" t="n">
        <v>0.016427</v>
      </c>
      <c r="D15" s="8" t="n">
        <v>0.039343</v>
      </c>
      <c r="E15" s="8" t="n">
        <v>0.080618</v>
      </c>
      <c r="F15" s="8" t="n">
        <v>0.496825</v>
      </c>
      <c r="G15" s="8" t="n">
        <v>0.366786</v>
      </c>
      <c r="H15" s="19">
        <f>SUM(C15:G15)</f>
        <v/>
      </c>
    </row>
    <row r="16">
      <c r="A16" s="12" t="inlineStr"/>
      <c r="B16" s="7" t="inlineStr">
        <is>
          <t>Zone j: Tract 184, East Harlem</t>
        </is>
      </c>
      <c r="C16" s="8" t="n">
        <v>0.178913</v>
      </c>
      <c r="D16" s="8" t="n">
        <v>0.196914</v>
      </c>
      <c r="E16" s="8" t="n">
        <v>0.276267</v>
      </c>
      <c r="F16" s="8" t="n">
        <v>0.223549</v>
      </c>
      <c r="G16" s="8" t="n">
        <v>0.124357</v>
      </c>
      <c r="H16" s="19">
        <f>SUM(C16:G16)</f>
        <v/>
      </c>
    </row>
    <row r="18">
      <c r="A18" s="17" t="inlineStr">
        <is>
          <t>Industry Shares at Workplace (Oₛₒ) — from LODES WAC files</t>
        </is>
      </c>
      <c r="B18" s="18" t="n"/>
      <c r="C18" s="18" t="n"/>
      <c r="D18" s="18" t="n"/>
      <c r="E18" s="18" t="n"/>
      <c r="F18" s="18" t="n"/>
      <c r="G18" s="18" t="n"/>
      <c r="H18" s="18" t="n"/>
    </row>
    <row r="19">
      <c r="A19" s="6" t="inlineStr">
        <is>
          <t>LODES</t>
        </is>
      </c>
      <c r="B19" s="5" t="inlineStr">
        <is>
          <t>Industry Sector</t>
        </is>
      </c>
      <c r="C19" s="6" t="inlineStr">
        <is>
          <t>Zone i (workplace)</t>
        </is>
      </c>
      <c r="D19" s="6" t="inlineStr">
        <is>
          <t>Zone j (workplace)</t>
        </is>
      </c>
    </row>
    <row r="20">
      <c r="A20" s="10" t="inlineStr">
        <is>
          <t>CNS01</t>
        </is>
      </c>
      <c r="B20" s="7" t="inlineStr">
        <is>
          <t>Agriculture, Forestry, Fishing</t>
        </is>
      </c>
      <c r="C20" s="8" t="n">
        <v>0</v>
      </c>
      <c r="D20" s="8" t="n">
        <v>0</v>
      </c>
    </row>
    <row r="21">
      <c r="A21" s="10" t="inlineStr">
        <is>
          <t>CNS02</t>
        </is>
      </c>
      <c r="B21" s="7" t="inlineStr">
        <is>
          <t>Mining, Quarrying, Oil/Gas</t>
        </is>
      </c>
      <c r="C21" s="8" t="n">
        <v>7.7e-05</v>
      </c>
      <c r="D21" s="8" t="n">
        <v>0</v>
      </c>
    </row>
    <row r="22">
      <c r="A22" s="10" t="inlineStr">
        <is>
          <t>CNS03</t>
        </is>
      </c>
      <c r="B22" s="7" t="inlineStr">
        <is>
          <t>Utilities</t>
        </is>
      </c>
      <c r="C22" s="8" t="n">
        <v>3.9e-05</v>
      </c>
      <c r="D22" s="8" t="n">
        <v>0</v>
      </c>
    </row>
    <row r="23">
      <c r="A23" s="10" t="inlineStr">
        <is>
          <t>CNS04</t>
        </is>
      </c>
      <c r="B23" s="7" t="inlineStr">
        <is>
          <t>Construction</t>
        </is>
      </c>
      <c r="C23" s="8" t="n">
        <v>0.020311</v>
      </c>
      <c r="D23" s="8" t="n">
        <v>0.028777</v>
      </c>
    </row>
    <row r="24">
      <c r="A24" s="10" t="inlineStr">
        <is>
          <t>CNS05</t>
        </is>
      </c>
      <c r="B24" s="7" t="inlineStr">
        <is>
          <t>Manufacturing</t>
        </is>
      </c>
      <c r="C24" s="8" t="n">
        <v>0.00114</v>
      </c>
      <c r="D24" s="8" t="n">
        <v>0.005139</v>
      </c>
    </row>
    <row r="25">
      <c r="A25" s="10" t="inlineStr">
        <is>
          <t>CNS06</t>
        </is>
      </c>
      <c r="B25" s="7" t="inlineStr">
        <is>
          <t>Wholesale Trade</t>
        </is>
      </c>
      <c r="C25" s="8" t="n">
        <v>0.032544</v>
      </c>
      <c r="D25" s="8" t="n">
        <v>0.001028</v>
      </c>
    </row>
    <row r="26">
      <c r="A26" s="10" t="inlineStr">
        <is>
          <t>CNS07</t>
        </is>
      </c>
      <c r="B26" s="7" t="inlineStr">
        <is>
          <t>Retail Trade</t>
        </is>
      </c>
      <c r="C26" s="8" t="n">
        <v>0.068643</v>
      </c>
      <c r="D26" s="8" t="n">
        <v>0.08838600000000001</v>
      </c>
    </row>
    <row r="27">
      <c r="A27" s="10" t="inlineStr">
        <is>
          <t>CNS08</t>
        </is>
      </c>
      <c r="B27" s="7" t="inlineStr">
        <is>
          <t>Transportation &amp; Warehousing</t>
        </is>
      </c>
      <c r="C27" s="8" t="n">
        <v>0.013991</v>
      </c>
      <c r="D27" s="8" t="n">
        <v>0</v>
      </c>
    </row>
    <row r="28">
      <c r="A28" s="10" t="inlineStr">
        <is>
          <t>CNS09</t>
        </is>
      </c>
      <c r="B28" s="7" t="inlineStr">
        <is>
          <t>Information</t>
        </is>
      </c>
      <c r="C28" s="8" t="n">
        <v>0.034476</v>
      </c>
      <c r="D28" s="8" t="n">
        <v>0.003083</v>
      </c>
    </row>
    <row r="29">
      <c r="A29" s="10" t="inlineStr">
        <is>
          <t>CNS10</t>
        </is>
      </c>
      <c r="B29" s="7" t="inlineStr">
        <is>
          <t>Finance &amp; Insurance</t>
        </is>
      </c>
      <c r="C29" s="8" t="n">
        <v>0.197696</v>
      </c>
      <c r="D29" s="8" t="n">
        <v>0.005139</v>
      </c>
    </row>
    <row r="30">
      <c r="A30" s="10" t="inlineStr">
        <is>
          <t>CNS11</t>
        </is>
      </c>
      <c r="B30" s="7" t="inlineStr">
        <is>
          <t>Real Estate &amp; Rental/Leasing</t>
        </is>
      </c>
      <c r="C30" s="8" t="n">
        <v>0.012445</v>
      </c>
      <c r="D30" s="8" t="n">
        <v>0.077081</v>
      </c>
    </row>
    <row r="31">
      <c r="A31" s="10" t="inlineStr">
        <is>
          <t>CNS12</t>
        </is>
      </c>
      <c r="B31" s="7" t="inlineStr">
        <is>
          <t>Professional, Scientific, Tech</t>
        </is>
      </c>
      <c r="C31" s="8" t="n">
        <v>0.232907</v>
      </c>
      <c r="D31" s="8" t="n">
        <v>0.017472</v>
      </c>
    </row>
    <row r="32">
      <c r="A32" s="10" t="inlineStr">
        <is>
          <t>CNS13</t>
        </is>
      </c>
      <c r="B32" s="7" t="inlineStr">
        <is>
          <t>Management of Companies</t>
        </is>
      </c>
      <c r="C32" s="8" t="n">
        <v>0.018514</v>
      </c>
      <c r="D32" s="8" t="n">
        <v>0</v>
      </c>
    </row>
    <row r="33">
      <c r="A33" s="10" t="inlineStr">
        <is>
          <t>CNS14</t>
        </is>
      </c>
      <c r="B33" s="7" t="inlineStr">
        <is>
          <t>Admin/Support/Waste Mgmt</t>
        </is>
      </c>
      <c r="C33" s="8" t="n">
        <v>0.065106</v>
      </c>
      <c r="D33" s="8" t="n">
        <v>0.005139</v>
      </c>
    </row>
    <row r="34">
      <c r="A34" s="10" t="inlineStr">
        <is>
          <t>CNS15</t>
        </is>
      </c>
      <c r="B34" s="7" t="inlineStr">
        <is>
          <t>Educational Services</t>
        </is>
      </c>
      <c r="C34" s="8" t="n">
        <v>0.012774</v>
      </c>
      <c r="D34" s="8" t="n">
        <v>0.171634</v>
      </c>
    </row>
    <row r="35">
      <c r="A35" s="10" t="inlineStr">
        <is>
          <t>CNS16</t>
        </is>
      </c>
      <c r="B35" s="7" t="inlineStr">
        <is>
          <t>Healthcare &amp; Social Assistance</t>
        </is>
      </c>
      <c r="C35" s="8" t="n">
        <v>0.151838</v>
      </c>
      <c r="D35" s="8" t="n">
        <v>0.295992</v>
      </c>
    </row>
    <row r="36">
      <c r="A36" s="10" t="inlineStr">
        <is>
          <t>CNS17</t>
        </is>
      </c>
      <c r="B36" s="7" t="inlineStr">
        <is>
          <t>Arts, Entertainment, Recreation</t>
        </is>
      </c>
      <c r="C36" s="8" t="n">
        <v>0.010223</v>
      </c>
      <c r="D36" s="8" t="n">
        <v>0</v>
      </c>
    </row>
    <row r="37">
      <c r="A37" s="10" t="inlineStr">
        <is>
          <t>CNS18</t>
        </is>
      </c>
      <c r="B37" s="7" t="inlineStr">
        <is>
          <t>Accommodation &amp; Food Services</t>
        </is>
      </c>
      <c r="C37" s="8" t="n">
        <v>0.040235</v>
      </c>
      <c r="D37" s="8" t="n">
        <v>0.07399799999999999</v>
      </c>
    </row>
    <row r="38">
      <c r="A38" s="10" t="inlineStr">
        <is>
          <t>CNS19</t>
        </is>
      </c>
      <c r="B38" s="7" t="inlineStr">
        <is>
          <t>Other Services</t>
        </is>
      </c>
      <c r="C38" s="8" t="n">
        <v>0.041974</v>
      </c>
      <c r="D38" s="8" t="n">
        <v>0.105858</v>
      </c>
    </row>
    <row r="39">
      <c r="A39" s="10" t="inlineStr">
        <is>
          <t>CNS20</t>
        </is>
      </c>
      <c r="B39" s="7" t="inlineStr">
        <is>
          <t>Public Administration</t>
        </is>
      </c>
      <c r="C39" s="8" t="n">
        <v>0.045066</v>
      </c>
      <c r="D39" s="8" t="n">
        <v>0.121274</v>
      </c>
    </row>
    <row r="40">
      <c r="A40" s="12" t="inlineStr"/>
      <c r="B40" s="20" t="inlineStr">
        <is>
          <t>Total</t>
        </is>
      </c>
      <c r="C40" s="19">
        <f>SUM(C20:C39)</f>
        <v/>
      </c>
      <c r="D40" s="19">
        <f>SUM(D20:D39)</f>
        <v/>
      </c>
    </row>
    <row r="42">
      <c r="A42" s="17" t="inlineStr">
        <is>
          <t>LODES Commute Counts and Deep Gravity Baseline Flow</t>
        </is>
      </c>
      <c r="B42" s="18" t="n"/>
      <c r="C42" s="18" t="n"/>
      <c r="D42" s="18" t="n"/>
      <c r="E42" s="18" t="n"/>
      <c r="F42" s="18" t="n"/>
      <c r="G42" s="18" t="n"/>
      <c r="H42" s="18" t="n"/>
    </row>
    <row r="43">
      <c r="B43" s="7" t="inlineStr">
        <is>
          <t>L_ij (workers with residence r=i, workplace s=j)</t>
        </is>
      </c>
      <c r="C43" s="21" t="n">
        <v>0</v>
      </c>
    </row>
    <row r="44">
      <c r="B44" s="7" t="inlineStr">
        <is>
          <t>L_ji (workers with residence r=j, workplace s=i)</t>
        </is>
      </c>
      <c r="C44" s="21" t="n">
        <v>23</v>
      </c>
    </row>
    <row r="45">
      <c r="B45" s="7" t="inlineStr">
        <is>
          <t>T_ij (Deep Gravity baseline flow, dummy)</t>
        </is>
      </c>
      <c r="C45" s="21" t="n">
        <v>2200</v>
      </c>
    </row>
    <row r="47">
      <c r="A47" s="3" t="inlineStr">
        <is>
          <t>Step 2: Bounded Perturbation Deltas  Δwₑₒ = max(−wₑₒ, min(α·wₑₒ, uₑₒ−wₑₒ))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2" t="inlineStr">
        <is>
          <t>Change in WFH rate for each segment, bounded by structural feasibility. Positive = more WFH; negative = less WFH.</t>
        </is>
      </c>
    </row>
    <row r="49">
      <c r="A49" s="6" t="inlineStr">
        <is>
          <t>LODES</t>
        </is>
      </c>
      <c r="B49" s="5" t="inlineStr">
        <is>
          <t>Industry</t>
        </is>
      </c>
      <c r="C49" s="6" t="inlineStr">
        <is>
          <t>Less than HS</t>
        </is>
      </c>
      <c r="D49" s="6" t="inlineStr">
        <is>
          <t>HS Diploma</t>
        </is>
      </c>
      <c r="E49" s="6" t="inlineStr">
        <is>
          <t>Some College/Assoc.</t>
        </is>
      </c>
      <c r="F49" s="6" t="inlineStr">
        <is>
          <t>Bachelor's</t>
        </is>
      </c>
      <c r="G49" s="6" t="inlineStr">
        <is>
          <t>Advanced</t>
        </is>
      </c>
    </row>
    <row r="50">
      <c r="A50" s="10" t="inlineStr">
        <is>
          <t>CNS01</t>
        </is>
      </c>
      <c r="B50" s="7" t="inlineStr">
        <is>
          <t>Agriculture, Forestry, Fishing</t>
        </is>
      </c>
      <c r="C50" s="11">
        <f>MAX(-Parameters!C38,MIN($C$5*Parameters!C38,Parameters!C62-Parameters!C38))</f>
        <v/>
      </c>
      <c r="D50" s="11">
        <f>MAX(-Parameters!D38,MIN($C$5*Parameters!D38,Parameters!D62-Parameters!D38))</f>
        <v/>
      </c>
      <c r="E50" s="11">
        <f>MAX(-Parameters!E38,MIN($C$5*Parameters!E38,Parameters!E62-Parameters!E38))</f>
        <v/>
      </c>
      <c r="F50" s="11">
        <f>MAX(-Parameters!F38,MIN($C$5*Parameters!F38,Parameters!F62-Parameters!F38))</f>
        <v/>
      </c>
      <c r="G50" s="11">
        <f>MAX(-Parameters!G38,MIN($C$5*Parameters!G38,Parameters!G62-Parameters!G38))</f>
        <v/>
      </c>
    </row>
    <row r="51">
      <c r="A51" s="10" t="inlineStr">
        <is>
          <t>CNS02</t>
        </is>
      </c>
      <c r="B51" s="7" t="inlineStr">
        <is>
          <t>Mining, Quarrying, Oil/Gas</t>
        </is>
      </c>
      <c r="C51" s="11">
        <f>MAX(-Parameters!C39,MIN($C$5*Parameters!C39,Parameters!C63-Parameters!C39))</f>
        <v/>
      </c>
      <c r="D51" s="11">
        <f>MAX(-Parameters!D39,MIN($C$5*Parameters!D39,Parameters!D63-Parameters!D39))</f>
        <v/>
      </c>
      <c r="E51" s="11">
        <f>MAX(-Parameters!E39,MIN($C$5*Parameters!E39,Parameters!E63-Parameters!E39))</f>
        <v/>
      </c>
      <c r="F51" s="11">
        <f>MAX(-Parameters!F39,MIN($C$5*Parameters!F39,Parameters!F63-Parameters!F39))</f>
        <v/>
      </c>
      <c r="G51" s="11">
        <f>MAX(-Parameters!G39,MIN($C$5*Parameters!G39,Parameters!G63-Parameters!G39))</f>
        <v/>
      </c>
    </row>
    <row r="52">
      <c r="A52" s="10" t="inlineStr">
        <is>
          <t>CNS03</t>
        </is>
      </c>
      <c r="B52" s="7" t="inlineStr">
        <is>
          <t>Utilities</t>
        </is>
      </c>
      <c r="C52" s="11">
        <f>MAX(-Parameters!C40,MIN($C$5*Parameters!C40,Parameters!C64-Parameters!C40))</f>
        <v/>
      </c>
      <c r="D52" s="11">
        <f>MAX(-Parameters!D40,MIN($C$5*Parameters!D40,Parameters!D64-Parameters!D40))</f>
        <v/>
      </c>
      <c r="E52" s="11">
        <f>MAX(-Parameters!E40,MIN($C$5*Parameters!E40,Parameters!E64-Parameters!E40))</f>
        <v/>
      </c>
      <c r="F52" s="11">
        <f>MAX(-Parameters!F40,MIN($C$5*Parameters!F40,Parameters!F64-Parameters!F40))</f>
        <v/>
      </c>
      <c r="G52" s="11">
        <f>MAX(-Parameters!G40,MIN($C$5*Parameters!G40,Parameters!G64-Parameters!G40))</f>
        <v/>
      </c>
    </row>
    <row r="53">
      <c r="A53" s="10" t="inlineStr">
        <is>
          <t>CNS04</t>
        </is>
      </c>
      <c r="B53" s="7" t="inlineStr">
        <is>
          <t>Construction</t>
        </is>
      </c>
      <c r="C53" s="11">
        <f>MAX(-Parameters!C41,MIN($C$5*Parameters!C41,Parameters!C65-Parameters!C41))</f>
        <v/>
      </c>
      <c r="D53" s="11">
        <f>MAX(-Parameters!D41,MIN($C$5*Parameters!D41,Parameters!D65-Parameters!D41))</f>
        <v/>
      </c>
      <c r="E53" s="11">
        <f>MAX(-Parameters!E41,MIN($C$5*Parameters!E41,Parameters!E65-Parameters!E41))</f>
        <v/>
      </c>
      <c r="F53" s="11">
        <f>MAX(-Parameters!F41,MIN($C$5*Parameters!F41,Parameters!F65-Parameters!F41))</f>
        <v/>
      </c>
      <c r="G53" s="11">
        <f>MAX(-Parameters!G41,MIN($C$5*Parameters!G41,Parameters!G65-Parameters!G41))</f>
        <v/>
      </c>
    </row>
    <row r="54">
      <c r="A54" s="10" t="inlineStr">
        <is>
          <t>CNS05</t>
        </is>
      </c>
      <c r="B54" s="7" t="inlineStr">
        <is>
          <t>Manufacturing</t>
        </is>
      </c>
      <c r="C54" s="11">
        <f>MAX(-Parameters!C42,MIN($C$5*Parameters!C42,Parameters!C66-Parameters!C42))</f>
        <v/>
      </c>
      <c r="D54" s="11">
        <f>MAX(-Parameters!D42,MIN($C$5*Parameters!D42,Parameters!D66-Parameters!D42))</f>
        <v/>
      </c>
      <c r="E54" s="11">
        <f>MAX(-Parameters!E42,MIN($C$5*Parameters!E42,Parameters!E66-Parameters!E42))</f>
        <v/>
      </c>
      <c r="F54" s="11">
        <f>MAX(-Parameters!F42,MIN($C$5*Parameters!F42,Parameters!F66-Parameters!F42))</f>
        <v/>
      </c>
      <c r="G54" s="11">
        <f>MAX(-Parameters!G42,MIN($C$5*Parameters!G42,Parameters!G66-Parameters!G42))</f>
        <v/>
      </c>
    </row>
    <row r="55">
      <c r="A55" s="10" t="inlineStr">
        <is>
          <t>CNS06</t>
        </is>
      </c>
      <c r="B55" s="7" t="inlineStr">
        <is>
          <t>Wholesale Trade</t>
        </is>
      </c>
      <c r="C55" s="11">
        <f>MAX(-Parameters!C43,MIN($C$5*Parameters!C43,Parameters!C67-Parameters!C43))</f>
        <v/>
      </c>
      <c r="D55" s="11">
        <f>MAX(-Parameters!D43,MIN($C$5*Parameters!D43,Parameters!D67-Parameters!D43))</f>
        <v/>
      </c>
      <c r="E55" s="11">
        <f>MAX(-Parameters!E43,MIN($C$5*Parameters!E43,Parameters!E67-Parameters!E43))</f>
        <v/>
      </c>
      <c r="F55" s="11">
        <f>MAX(-Parameters!F43,MIN($C$5*Parameters!F43,Parameters!F67-Parameters!F43))</f>
        <v/>
      </c>
      <c r="G55" s="11">
        <f>MAX(-Parameters!G43,MIN($C$5*Parameters!G43,Parameters!G67-Parameters!G43))</f>
        <v/>
      </c>
    </row>
    <row r="56">
      <c r="A56" s="10" t="inlineStr">
        <is>
          <t>CNS07</t>
        </is>
      </c>
      <c r="B56" s="7" t="inlineStr">
        <is>
          <t>Retail Trade</t>
        </is>
      </c>
      <c r="C56" s="11">
        <f>MAX(-Parameters!C44,MIN($C$5*Parameters!C44,Parameters!C68-Parameters!C44))</f>
        <v/>
      </c>
      <c r="D56" s="11">
        <f>MAX(-Parameters!D44,MIN($C$5*Parameters!D44,Parameters!D68-Parameters!D44))</f>
        <v/>
      </c>
      <c r="E56" s="11">
        <f>MAX(-Parameters!E44,MIN($C$5*Parameters!E44,Parameters!E68-Parameters!E44))</f>
        <v/>
      </c>
      <c r="F56" s="11">
        <f>MAX(-Parameters!F44,MIN($C$5*Parameters!F44,Parameters!F68-Parameters!F44))</f>
        <v/>
      </c>
      <c r="G56" s="11">
        <f>MAX(-Parameters!G44,MIN($C$5*Parameters!G44,Parameters!G68-Parameters!G44))</f>
        <v/>
      </c>
    </row>
    <row r="57">
      <c r="A57" s="10" t="inlineStr">
        <is>
          <t>CNS08</t>
        </is>
      </c>
      <c r="B57" s="7" t="inlineStr">
        <is>
          <t>Transportation &amp; Warehousing</t>
        </is>
      </c>
      <c r="C57" s="11">
        <f>MAX(-Parameters!C45,MIN($C$5*Parameters!C45,Parameters!C69-Parameters!C45))</f>
        <v/>
      </c>
      <c r="D57" s="11">
        <f>MAX(-Parameters!D45,MIN($C$5*Parameters!D45,Parameters!D69-Parameters!D45))</f>
        <v/>
      </c>
      <c r="E57" s="11">
        <f>MAX(-Parameters!E45,MIN($C$5*Parameters!E45,Parameters!E69-Parameters!E45))</f>
        <v/>
      </c>
      <c r="F57" s="11">
        <f>MAX(-Parameters!F45,MIN($C$5*Parameters!F45,Parameters!F69-Parameters!F45))</f>
        <v/>
      </c>
      <c r="G57" s="11">
        <f>MAX(-Parameters!G45,MIN($C$5*Parameters!G45,Parameters!G69-Parameters!G45))</f>
        <v/>
      </c>
    </row>
    <row r="58">
      <c r="A58" s="10" t="inlineStr">
        <is>
          <t>CNS09</t>
        </is>
      </c>
      <c r="B58" s="7" t="inlineStr">
        <is>
          <t>Information</t>
        </is>
      </c>
      <c r="C58" s="11">
        <f>MAX(-Parameters!C46,MIN($C$5*Parameters!C46,Parameters!C70-Parameters!C46))</f>
        <v/>
      </c>
      <c r="D58" s="11">
        <f>MAX(-Parameters!D46,MIN($C$5*Parameters!D46,Parameters!D70-Parameters!D46))</f>
        <v/>
      </c>
      <c r="E58" s="11">
        <f>MAX(-Parameters!E46,MIN($C$5*Parameters!E46,Parameters!E70-Parameters!E46))</f>
        <v/>
      </c>
      <c r="F58" s="11">
        <f>MAX(-Parameters!F46,MIN($C$5*Parameters!F46,Parameters!F70-Parameters!F46))</f>
        <v/>
      </c>
      <c r="G58" s="11">
        <f>MAX(-Parameters!G46,MIN($C$5*Parameters!G46,Parameters!G70-Parameters!G46))</f>
        <v/>
      </c>
    </row>
    <row r="59">
      <c r="A59" s="10" t="inlineStr">
        <is>
          <t>CNS10</t>
        </is>
      </c>
      <c r="B59" s="7" t="inlineStr">
        <is>
          <t>Finance &amp; Insurance</t>
        </is>
      </c>
      <c r="C59" s="11">
        <f>MAX(-Parameters!C47,MIN($C$5*Parameters!C47,Parameters!C71-Parameters!C47))</f>
        <v/>
      </c>
      <c r="D59" s="11">
        <f>MAX(-Parameters!D47,MIN($C$5*Parameters!D47,Parameters!D71-Parameters!D47))</f>
        <v/>
      </c>
      <c r="E59" s="11">
        <f>MAX(-Parameters!E47,MIN($C$5*Parameters!E47,Parameters!E71-Parameters!E47))</f>
        <v/>
      </c>
      <c r="F59" s="11">
        <f>MAX(-Parameters!F47,MIN($C$5*Parameters!F47,Parameters!F71-Parameters!F47))</f>
        <v/>
      </c>
      <c r="G59" s="11">
        <f>MAX(-Parameters!G47,MIN($C$5*Parameters!G47,Parameters!G71-Parameters!G47))</f>
        <v/>
      </c>
    </row>
    <row r="60">
      <c r="A60" s="10" t="inlineStr">
        <is>
          <t>CNS11</t>
        </is>
      </c>
      <c r="B60" s="7" t="inlineStr">
        <is>
          <t>Real Estate &amp; Rental/Leasing</t>
        </is>
      </c>
      <c r="C60" s="11">
        <f>MAX(-Parameters!C48,MIN($C$5*Parameters!C48,Parameters!C72-Parameters!C48))</f>
        <v/>
      </c>
      <c r="D60" s="11">
        <f>MAX(-Parameters!D48,MIN($C$5*Parameters!D48,Parameters!D72-Parameters!D48))</f>
        <v/>
      </c>
      <c r="E60" s="11">
        <f>MAX(-Parameters!E48,MIN($C$5*Parameters!E48,Parameters!E72-Parameters!E48))</f>
        <v/>
      </c>
      <c r="F60" s="11">
        <f>MAX(-Parameters!F48,MIN($C$5*Parameters!F48,Parameters!F72-Parameters!F48))</f>
        <v/>
      </c>
      <c r="G60" s="11">
        <f>MAX(-Parameters!G48,MIN($C$5*Parameters!G48,Parameters!G72-Parameters!G48))</f>
        <v/>
      </c>
    </row>
    <row r="61">
      <c r="A61" s="10" t="inlineStr">
        <is>
          <t>CNS12</t>
        </is>
      </c>
      <c r="B61" s="7" t="inlineStr">
        <is>
          <t>Professional, Scientific, Tech</t>
        </is>
      </c>
      <c r="C61" s="11">
        <f>MAX(-Parameters!C49,MIN($C$5*Parameters!C49,Parameters!C73-Parameters!C49))</f>
        <v/>
      </c>
      <c r="D61" s="11">
        <f>MAX(-Parameters!D49,MIN($C$5*Parameters!D49,Parameters!D73-Parameters!D49))</f>
        <v/>
      </c>
      <c r="E61" s="11">
        <f>MAX(-Parameters!E49,MIN($C$5*Parameters!E49,Parameters!E73-Parameters!E49))</f>
        <v/>
      </c>
      <c r="F61" s="11">
        <f>MAX(-Parameters!F49,MIN($C$5*Parameters!F49,Parameters!F73-Parameters!F49))</f>
        <v/>
      </c>
      <c r="G61" s="11">
        <f>MAX(-Parameters!G49,MIN($C$5*Parameters!G49,Parameters!G73-Parameters!G49))</f>
        <v/>
      </c>
    </row>
    <row r="62">
      <c r="A62" s="10" t="inlineStr">
        <is>
          <t>CNS13</t>
        </is>
      </c>
      <c r="B62" s="7" t="inlineStr">
        <is>
          <t>Management of Companies</t>
        </is>
      </c>
      <c r="C62" s="11">
        <f>MAX(-Parameters!C50,MIN($C$5*Parameters!C50,Parameters!C74-Parameters!C50))</f>
        <v/>
      </c>
      <c r="D62" s="11">
        <f>MAX(-Parameters!D50,MIN($C$5*Parameters!D50,Parameters!D74-Parameters!D50))</f>
        <v/>
      </c>
      <c r="E62" s="11">
        <f>MAX(-Parameters!E50,MIN($C$5*Parameters!E50,Parameters!E74-Parameters!E50))</f>
        <v/>
      </c>
      <c r="F62" s="11">
        <f>MAX(-Parameters!F50,MIN($C$5*Parameters!F50,Parameters!F74-Parameters!F50))</f>
        <v/>
      </c>
      <c r="G62" s="11">
        <f>MAX(-Parameters!G50,MIN($C$5*Parameters!G50,Parameters!G74-Parameters!G50))</f>
        <v/>
      </c>
    </row>
    <row r="63">
      <c r="A63" s="10" t="inlineStr">
        <is>
          <t>CNS14</t>
        </is>
      </c>
      <c r="B63" s="7" t="inlineStr">
        <is>
          <t>Admin/Support/Waste Mgmt</t>
        </is>
      </c>
      <c r="C63" s="11">
        <f>MAX(-Parameters!C51,MIN($C$5*Parameters!C51,Parameters!C75-Parameters!C51))</f>
        <v/>
      </c>
      <c r="D63" s="11">
        <f>MAX(-Parameters!D51,MIN($C$5*Parameters!D51,Parameters!D75-Parameters!D51))</f>
        <v/>
      </c>
      <c r="E63" s="11">
        <f>MAX(-Parameters!E51,MIN($C$5*Parameters!E51,Parameters!E75-Parameters!E51))</f>
        <v/>
      </c>
      <c r="F63" s="11">
        <f>MAX(-Parameters!F51,MIN($C$5*Parameters!F51,Parameters!F75-Parameters!F51))</f>
        <v/>
      </c>
      <c r="G63" s="11">
        <f>MAX(-Parameters!G51,MIN($C$5*Parameters!G51,Parameters!G75-Parameters!G51))</f>
        <v/>
      </c>
    </row>
    <row r="64">
      <c r="A64" s="10" t="inlineStr">
        <is>
          <t>CNS15</t>
        </is>
      </c>
      <c r="B64" s="7" t="inlineStr">
        <is>
          <t>Educational Services</t>
        </is>
      </c>
      <c r="C64" s="11">
        <f>MAX(-Parameters!C52,MIN($C$5*Parameters!C52,Parameters!C76-Parameters!C52))</f>
        <v/>
      </c>
      <c r="D64" s="11">
        <f>MAX(-Parameters!D52,MIN($C$5*Parameters!D52,Parameters!D76-Parameters!D52))</f>
        <v/>
      </c>
      <c r="E64" s="11">
        <f>MAX(-Parameters!E52,MIN($C$5*Parameters!E52,Parameters!E76-Parameters!E52))</f>
        <v/>
      </c>
      <c r="F64" s="11">
        <f>MAX(-Parameters!F52,MIN($C$5*Parameters!F52,Parameters!F76-Parameters!F52))</f>
        <v/>
      </c>
      <c r="G64" s="11">
        <f>MAX(-Parameters!G52,MIN($C$5*Parameters!G52,Parameters!G76-Parameters!G52))</f>
        <v/>
      </c>
    </row>
    <row r="65">
      <c r="A65" s="10" t="inlineStr">
        <is>
          <t>CNS16</t>
        </is>
      </c>
      <c r="B65" s="7" t="inlineStr">
        <is>
          <t>Healthcare &amp; Social Assistance</t>
        </is>
      </c>
      <c r="C65" s="11">
        <f>MAX(-Parameters!C53,MIN($C$5*Parameters!C53,Parameters!C77-Parameters!C53))</f>
        <v/>
      </c>
      <c r="D65" s="11">
        <f>MAX(-Parameters!D53,MIN($C$5*Parameters!D53,Parameters!D77-Parameters!D53))</f>
        <v/>
      </c>
      <c r="E65" s="11">
        <f>MAX(-Parameters!E53,MIN($C$5*Parameters!E53,Parameters!E77-Parameters!E53))</f>
        <v/>
      </c>
      <c r="F65" s="11">
        <f>MAX(-Parameters!F53,MIN($C$5*Parameters!F53,Parameters!F77-Parameters!F53))</f>
        <v/>
      </c>
      <c r="G65" s="11">
        <f>MAX(-Parameters!G53,MIN($C$5*Parameters!G53,Parameters!G77-Parameters!G53))</f>
        <v/>
      </c>
    </row>
    <row r="66">
      <c r="A66" s="10" t="inlineStr">
        <is>
          <t>CNS17</t>
        </is>
      </c>
      <c r="B66" s="7" t="inlineStr">
        <is>
          <t>Arts, Entertainment, Recreation</t>
        </is>
      </c>
      <c r="C66" s="11">
        <f>MAX(-Parameters!C54,MIN($C$5*Parameters!C54,Parameters!C78-Parameters!C54))</f>
        <v/>
      </c>
      <c r="D66" s="11">
        <f>MAX(-Parameters!D54,MIN($C$5*Parameters!D54,Parameters!D78-Parameters!D54))</f>
        <v/>
      </c>
      <c r="E66" s="11">
        <f>MAX(-Parameters!E54,MIN($C$5*Parameters!E54,Parameters!E78-Parameters!E54))</f>
        <v/>
      </c>
      <c r="F66" s="11">
        <f>MAX(-Parameters!F54,MIN($C$5*Parameters!F54,Parameters!F78-Parameters!F54))</f>
        <v/>
      </c>
      <c r="G66" s="11">
        <f>MAX(-Parameters!G54,MIN($C$5*Parameters!G54,Parameters!G78-Parameters!G54))</f>
        <v/>
      </c>
    </row>
    <row r="67">
      <c r="A67" s="10" t="inlineStr">
        <is>
          <t>CNS18</t>
        </is>
      </c>
      <c r="B67" s="7" t="inlineStr">
        <is>
          <t>Accommodation &amp; Food Services</t>
        </is>
      </c>
      <c r="C67" s="11">
        <f>MAX(-Parameters!C55,MIN($C$5*Parameters!C55,Parameters!C79-Parameters!C55))</f>
        <v/>
      </c>
      <c r="D67" s="11">
        <f>MAX(-Parameters!D55,MIN($C$5*Parameters!D55,Parameters!D79-Parameters!D55))</f>
        <v/>
      </c>
      <c r="E67" s="11">
        <f>MAX(-Parameters!E55,MIN($C$5*Parameters!E55,Parameters!E79-Parameters!E55))</f>
        <v/>
      </c>
      <c r="F67" s="11">
        <f>MAX(-Parameters!F55,MIN($C$5*Parameters!F55,Parameters!F79-Parameters!F55))</f>
        <v/>
      </c>
      <c r="G67" s="11">
        <f>MAX(-Parameters!G55,MIN($C$5*Parameters!G55,Parameters!G79-Parameters!G55))</f>
        <v/>
      </c>
    </row>
    <row r="68">
      <c r="A68" s="10" t="inlineStr">
        <is>
          <t>CNS19</t>
        </is>
      </c>
      <c r="B68" s="7" t="inlineStr">
        <is>
          <t>Other Services</t>
        </is>
      </c>
      <c r="C68" s="11">
        <f>MAX(-Parameters!C56,MIN($C$5*Parameters!C56,Parameters!C80-Parameters!C56))</f>
        <v/>
      </c>
      <c r="D68" s="11">
        <f>MAX(-Parameters!D56,MIN($C$5*Parameters!D56,Parameters!D80-Parameters!D56))</f>
        <v/>
      </c>
      <c r="E68" s="11">
        <f>MAX(-Parameters!E56,MIN($C$5*Parameters!E56,Parameters!E80-Parameters!E56))</f>
        <v/>
      </c>
      <c r="F68" s="11">
        <f>MAX(-Parameters!F56,MIN($C$5*Parameters!F56,Parameters!F80-Parameters!F56))</f>
        <v/>
      </c>
      <c r="G68" s="11">
        <f>MAX(-Parameters!G56,MIN($C$5*Parameters!G56,Parameters!G80-Parameters!G56))</f>
        <v/>
      </c>
    </row>
    <row r="69">
      <c r="A69" s="10" t="inlineStr">
        <is>
          <t>CNS20</t>
        </is>
      </c>
      <c r="B69" s="7" t="inlineStr">
        <is>
          <t>Public Administration</t>
        </is>
      </c>
      <c r="C69" s="11">
        <f>MAX(-Parameters!C57,MIN($C$5*Parameters!C57,Parameters!C81-Parameters!C57))</f>
        <v/>
      </c>
      <c r="D69" s="11">
        <f>MAX(-Parameters!D57,MIN($C$5*Parameters!D57,Parameters!D81-Parameters!D57))</f>
        <v/>
      </c>
      <c r="E69" s="11">
        <f>MAX(-Parameters!E57,MIN($C$5*Parameters!E57,Parameters!E81-Parameters!E57))</f>
        <v/>
      </c>
      <c r="F69" s="11">
        <f>MAX(-Parameters!F57,MIN($C$5*Parameters!F57,Parameters!F81-Parameters!F57))</f>
        <v/>
      </c>
      <c r="G69" s="11">
        <f>MAX(-Parameters!G57,MIN($C$5*Parameters!G57,Parameters!G81-Parameters!G57))</f>
        <v/>
      </c>
    </row>
    <row r="71">
      <c r="A71" s="3" t="inlineStr">
        <is>
          <t>Step 3: Perturbation Weights  Wₑₒ = 1 − Δwₑₒ / (1 − wₑₒ)</t>
        </is>
      </c>
      <c r="B71" s="4" t="n"/>
      <c r="C71" s="4" t="n"/>
      <c r="D71" s="4" t="n"/>
      <c r="E71" s="4" t="n"/>
      <c r="F71" s="4" t="n"/>
      <c r="G71" s="4" t="n"/>
      <c r="H71" s="4" t="n"/>
    </row>
    <row r="72">
      <c r="A72" s="2" t="inlineStr">
        <is>
          <t>Weight &lt; 1 means fewer trips (more WFH). Weight = 1 means no change. Weight &gt; 1 means more trips (less WFH).</t>
        </is>
      </c>
    </row>
    <row r="73">
      <c r="A73" s="6" t="inlineStr">
        <is>
          <t>LODES</t>
        </is>
      </c>
      <c r="B73" s="5" t="inlineStr">
        <is>
          <t>Industry</t>
        </is>
      </c>
      <c r="C73" s="6" t="inlineStr">
        <is>
          <t>Less than HS</t>
        </is>
      </c>
      <c r="D73" s="6" t="inlineStr">
        <is>
          <t>HS Diploma</t>
        </is>
      </c>
      <c r="E73" s="6" t="inlineStr">
        <is>
          <t>Some College/Assoc.</t>
        </is>
      </c>
      <c r="F73" s="6" t="inlineStr">
        <is>
          <t>Bachelor's</t>
        </is>
      </c>
      <c r="G73" s="6" t="inlineStr">
        <is>
          <t>Advanced</t>
        </is>
      </c>
    </row>
    <row r="74">
      <c r="A74" s="10" t="inlineStr">
        <is>
          <t>CNS01</t>
        </is>
      </c>
      <c r="B74" s="7" t="inlineStr">
        <is>
          <t>Agriculture, Forestry, Fishing</t>
        </is>
      </c>
      <c r="C74" s="22">
        <f>1-C50/(1-Parameters!C38)</f>
        <v/>
      </c>
      <c r="D74" s="22">
        <f>1-D50/(1-Parameters!D38)</f>
        <v/>
      </c>
      <c r="E74" s="22">
        <f>1-E50/(1-Parameters!E38)</f>
        <v/>
      </c>
      <c r="F74" s="22">
        <f>1-F50/(1-Parameters!F38)</f>
        <v/>
      </c>
      <c r="G74" s="22">
        <f>1-G50/(1-Parameters!G38)</f>
        <v/>
      </c>
    </row>
    <row r="75">
      <c r="A75" s="10" t="inlineStr">
        <is>
          <t>CNS02</t>
        </is>
      </c>
      <c r="B75" s="7" t="inlineStr">
        <is>
          <t>Mining, Quarrying, Oil/Gas</t>
        </is>
      </c>
      <c r="C75" s="22">
        <f>1-C51/(1-Parameters!C39)</f>
        <v/>
      </c>
      <c r="D75" s="22">
        <f>1-D51/(1-Parameters!D39)</f>
        <v/>
      </c>
      <c r="E75" s="22">
        <f>1-E51/(1-Parameters!E39)</f>
        <v/>
      </c>
      <c r="F75" s="22">
        <f>1-F51/(1-Parameters!F39)</f>
        <v/>
      </c>
      <c r="G75" s="22">
        <f>1-G51/(1-Parameters!G39)</f>
        <v/>
      </c>
    </row>
    <row r="76">
      <c r="A76" s="10" t="inlineStr">
        <is>
          <t>CNS03</t>
        </is>
      </c>
      <c r="B76" s="7" t="inlineStr">
        <is>
          <t>Utilities</t>
        </is>
      </c>
      <c r="C76" s="22">
        <f>1-C52/(1-Parameters!C40)</f>
        <v/>
      </c>
      <c r="D76" s="22">
        <f>1-D52/(1-Parameters!D40)</f>
        <v/>
      </c>
      <c r="E76" s="22">
        <f>1-E52/(1-Parameters!E40)</f>
        <v/>
      </c>
      <c r="F76" s="22">
        <f>1-F52/(1-Parameters!F40)</f>
        <v/>
      </c>
      <c r="G76" s="22">
        <f>1-G52/(1-Parameters!G40)</f>
        <v/>
      </c>
    </row>
    <row r="77">
      <c r="A77" s="10" t="inlineStr">
        <is>
          <t>CNS04</t>
        </is>
      </c>
      <c r="B77" s="7" t="inlineStr">
        <is>
          <t>Construction</t>
        </is>
      </c>
      <c r="C77" s="22">
        <f>1-C53/(1-Parameters!C41)</f>
        <v/>
      </c>
      <c r="D77" s="22">
        <f>1-D53/(1-Parameters!D41)</f>
        <v/>
      </c>
      <c r="E77" s="22">
        <f>1-E53/(1-Parameters!E41)</f>
        <v/>
      </c>
      <c r="F77" s="22">
        <f>1-F53/(1-Parameters!F41)</f>
        <v/>
      </c>
      <c r="G77" s="22">
        <f>1-G53/(1-Parameters!G41)</f>
        <v/>
      </c>
    </row>
    <row r="78">
      <c r="A78" s="10" t="inlineStr">
        <is>
          <t>CNS05</t>
        </is>
      </c>
      <c r="B78" s="7" t="inlineStr">
        <is>
          <t>Manufacturing</t>
        </is>
      </c>
      <c r="C78" s="22">
        <f>1-C54/(1-Parameters!C42)</f>
        <v/>
      </c>
      <c r="D78" s="22">
        <f>1-D54/(1-Parameters!D42)</f>
        <v/>
      </c>
      <c r="E78" s="22">
        <f>1-E54/(1-Parameters!E42)</f>
        <v/>
      </c>
      <c r="F78" s="22">
        <f>1-F54/(1-Parameters!F42)</f>
        <v/>
      </c>
      <c r="G78" s="22">
        <f>1-G54/(1-Parameters!G42)</f>
        <v/>
      </c>
    </row>
    <row r="79">
      <c r="A79" s="10" t="inlineStr">
        <is>
          <t>CNS06</t>
        </is>
      </c>
      <c r="B79" s="7" t="inlineStr">
        <is>
          <t>Wholesale Trade</t>
        </is>
      </c>
      <c r="C79" s="22">
        <f>1-C55/(1-Parameters!C43)</f>
        <v/>
      </c>
      <c r="D79" s="22">
        <f>1-D55/(1-Parameters!D43)</f>
        <v/>
      </c>
      <c r="E79" s="22">
        <f>1-E55/(1-Parameters!E43)</f>
        <v/>
      </c>
      <c r="F79" s="22">
        <f>1-F55/(1-Parameters!F43)</f>
        <v/>
      </c>
      <c r="G79" s="22">
        <f>1-G55/(1-Parameters!G43)</f>
        <v/>
      </c>
    </row>
    <row r="80">
      <c r="A80" s="10" t="inlineStr">
        <is>
          <t>CNS07</t>
        </is>
      </c>
      <c r="B80" s="7" t="inlineStr">
        <is>
          <t>Retail Trade</t>
        </is>
      </c>
      <c r="C80" s="22">
        <f>1-C56/(1-Parameters!C44)</f>
        <v/>
      </c>
      <c r="D80" s="22">
        <f>1-D56/(1-Parameters!D44)</f>
        <v/>
      </c>
      <c r="E80" s="22">
        <f>1-E56/(1-Parameters!E44)</f>
        <v/>
      </c>
      <c r="F80" s="22">
        <f>1-F56/(1-Parameters!F44)</f>
        <v/>
      </c>
      <c r="G80" s="22">
        <f>1-G56/(1-Parameters!G44)</f>
        <v/>
      </c>
    </row>
    <row r="81">
      <c r="A81" s="10" t="inlineStr">
        <is>
          <t>CNS08</t>
        </is>
      </c>
      <c r="B81" s="7" t="inlineStr">
        <is>
          <t>Transportation &amp; Warehousing</t>
        </is>
      </c>
      <c r="C81" s="22">
        <f>1-C57/(1-Parameters!C45)</f>
        <v/>
      </c>
      <c r="D81" s="22">
        <f>1-D57/(1-Parameters!D45)</f>
        <v/>
      </c>
      <c r="E81" s="22">
        <f>1-E57/(1-Parameters!E45)</f>
        <v/>
      </c>
      <c r="F81" s="22">
        <f>1-F57/(1-Parameters!F45)</f>
        <v/>
      </c>
      <c r="G81" s="22">
        <f>1-G57/(1-Parameters!G45)</f>
        <v/>
      </c>
    </row>
    <row r="82">
      <c r="A82" s="10" t="inlineStr">
        <is>
          <t>CNS09</t>
        </is>
      </c>
      <c r="B82" s="7" t="inlineStr">
        <is>
          <t>Information</t>
        </is>
      </c>
      <c r="C82" s="22">
        <f>1-C58/(1-Parameters!C46)</f>
        <v/>
      </c>
      <c r="D82" s="22">
        <f>1-D58/(1-Parameters!D46)</f>
        <v/>
      </c>
      <c r="E82" s="22">
        <f>1-E58/(1-Parameters!E46)</f>
        <v/>
      </c>
      <c r="F82" s="22">
        <f>1-F58/(1-Parameters!F46)</f>
        <v/>
      </c>
      <c r="G82" s="22">
        <f>1-G58/(1-Parameters!G46)</f>
        <v/>
      </c>
    </row>
    <row r="83">
      <c r="A83" s="10" t="inlineStr">
        <is>
          <t>CNS10</t>
        </is>
      </c>
      <c r="B83" s="7" t="inlineStr">
        <is>
          <t>Finance &amp; Insurance</t>
        </is>
      </c>
      <c r="C83" s="22">
        <f>1-C59/(1-Parameters!C47)</f>
        <v/>
      </c>
      <c r="D83" s="22">
        <f>1-D59/(1-Parameters!D47)</f>
        <v/>
      </c>
      <c r="E83" s="22">
        <f>1-E59/(1-Parameters!E47)</f>
        <v/>
      </c>
      <c r="F83" s="22">
        <f>1-F59/(1-Parameters!F47)</f>
        <v/>
      </c>
      <c r="G83" s="22">
        <f>1-G59/(1-Parameters!G47)</f>
        <v/>
      </c>
    </row>
    <row r="84">
      <c r="A84" s="10" t="inlineStr">
        <is>
          <t>CNS11</t>
        </is>
      </c>
      <c r="B84" s="7" t="inlineStr">
        <is>
          <t>Real Estate &amp; Rental/Leasing</t>
        </is>
      </c>
      <c r="C84" s="22">
        <f>1-C60/(1-Parameters!C48)</f>
        <v/>
      </c>
      <c r="D84" s="22">
        <f>1-D60/(1-Parameters!D48)</f>
        <v/>
      </c>
      <c r="E84" s="22">
        <f>1-E60/(1-Parameters!E48)</f>
        <v/>
      </c>
      <c r="F84" s="22">
        <f>1-F60/(1-Parameters!F48)</f>
        <v/>
      </c>
      <c r="G84" s="22">
        <f>1-G60/(1-Parameters!G48)</f>
        <v/>
      </c>
    </row>
    <row r="85">
      <c r="A85" s="10" t="inlineStr">
        <is>
          <t>CNS12</t>
        </is>
      </c>
      <c r="B85" s="7" t="inlineStr">
        <is>
          <t>Professional, Scientific, Tech</t>
        </is>
      </c>
      <c r="C85" s="22">
        <f>1-C61/(1-Parameters!C49)</f>
        <v/>
      </c>
      <c r="D85" s="22">
        <f>1-D61/(1-Parameters!D49)</f>
        <v/>
      </c>
      <c r="E85" s="22">
        <f>1-E61/(1-Parameters!E49)</f>
        <v/>
      </c>
      <c r="F85" s="22">
        <f>1-F61/(1-Parameters!F49)</f>
        <v/>
      </c>
      <c r="G85" s="22">
        <f>1-G61/(1-Parameters!G49)</f>
        <v/>
      </c>
    </row>
    <row r="86">
      <c r="A86" s="10" t="inlineStr">
        <is>
          <t>CNS13</t>
        </is>
      </c>
      <c r="B86" s="7" t="inlineStr">
        <is>
          <t>Management of Companies</t>
        </is>
      </c>
      <c r="C86" s="22">
        <f>1-C62/(1-Parameters!C50)</f>
        <v/>
      </c>
      <c r="D86" s="22">
        <f>1-D62/(1-Parameters!D50)</f>
        <v/>
      </c>
      <c r="E86" s="22">
        <f>1-E62/(1-Parameters!E50)</f>
        <v/>
      </c>
      <c r="F86" s="22">
        <f>1-F62/(1-Parameters!F50)</f>
        <v/>
      </c>
      <c r="G86" s="22">
        <f>1-G62/(1-Parameters!G50)</f>
        <v/>
      </c>
    </row>
    <row r="87">
      <c r="A87" s="10" t="inlineStr">
        <is>
          <t>CNS14</t>
        </is>
      </c>
      <c r="B87" s="7" t="inlineStr">
        <is>
          <t>Admin/Support/Waste Mgmt</t>
        </is>
      </c>
      <c r="C87" s="22">
        <f>1-C63/(1-Parameters!C51)</f>
        <v/>
      </c>
      <c r="D87" s="22">
        <f>1-D63/(1-Parameters!D51)</f>
        <v/>
      </c>
      <c r="E87" s="22">
        <f>1-E63/(1-Parameters!E51)</f>
        <v/>
      </c>
      <c r="F87" s="22">
        <f>1-F63/(1-Parameters!F51)</f>
        <v/>
      </c>
      <c r="G87" s="22">
        <f>1-G63/(1-Parameters!G51)</f>
        <v/>
      </c>
    </row>
    <row r="88">
      <c r="A88" s="10" t="inlineStr">
        <is>
          <t>CNS15</t>
        </is>
      </c>
      <c r="B88" s="7" t="inlineStr">
        <is>
          <t>Educational Services</t>
        </is>
      </c>
      <c r="C88" s="22">
        <f>1-C64/(1-Parameters!C52)</f>
        <v/>
      </c>
      <c r="D88" s="22">
        <f>1-D64/(1-Parameters!D52)</f>
        <v/>
      </c>
      <c r="E88" s="22">
        <f>1-E64/(1-Parameters!E52)</f>
        <v/>
      </c>
      <c r="F88" s="22">
        <f>1-F64/(1-Parameters!F52)</f>
        <v/>
      </c>
      <c r="G88" s="22">
        <f>1-G64/(1-Parameters!G52)</f>
        <v/>
      </c>
    </row>
    <row r="89">
      <c r="A89" s="10" t="inlineStr">
        <is>
          <t>CNS16</t>
        </is>
      </c>
      <c r="B89" s="7" t="inlineStr">
        <is>
          <t>Healthcare &amp; Social Assistance</t>
        </is>
      </c>
      <c r="C89" s="22">
        <f>1-C65/(1-Parameters!C53)</f>
        <v/>
      </c>
      <c r="D89" s="22">
        <f>1-D65/(1-Parameters!D53)</f>
        <v/>
      </c>
      <c r="E89" s="22">
        <f>1-E65/(1-Parameters!E53)</f>
        <v/>
      </c>
      <c r="F89" s="22">
        <f>1-F65/(1-Parameters!F53)</f>
        <v/>
      </c>
      <c r="G89" s="22">
        <f>1-G65/(1-Parameters!G53)</f>
        <v/>
      </c>
    </row>
    <row r="90">
      <c r="A90" s="10" t="inlineStr">
        <is>
          <t>CNS17</t>
        </is>
      </c>
      <c r="B90" s="7" t="inlineStr">
        <is>
          <t>Arts, Entertainment, Recreation</t>
        </is>
      </c>
      <c r="C90" s="22">
        <f>1-C66/(1-Parameters!C54)</f>
        <v/>
      </c>
      <c r="D90" s="22">
        <f>1-D66/(1-Parameters!D54)</f>
        <v/>
      </c>
      <c r="E90" s="22">
        <f>1-E66/(1-Parameters!E54)</f>
        <v/>
      </c>
      <c r="F90" s="22">
        <f>1-F66/(1-Parameters!F54)</f>
        <v/>
      </c>
      <c r="G90" s="22">
        <f>1-G66/(1-Parameters!G54)</f>
        <v/>
      </c>
    </row>
    <row r="91">
      <c r="A91" s="10" t="inlineStr">
        <is>
          <t>CNS18</t>
        </is>
      </c>
      <c r="B91" s="7" t="inlineStr">
        <is>
          <t>Accommodation &amp; Food Services</t>
        </is>
      </c>
      <c r="C91" s="22">
        <f>1-C67/(1-Parameters!C55)</f>
        <v/>
      </c>
      <c r="D91" s="22">
        <f>1-D67/(1-Parameters!D55)</f>
        <v/>
      </c>
      <c r="E91" s="22">
        <f>1-E67/(1-Parameters!E55)</f>
        <v/>
      </c>
      <c r="F91" s="22">
        <f>1-F67/(1-Parameters!F55)</f>
        <v/>
      </c>
      <c r="G91" s="22">
        <f>1-G67/(1-Parameters!G55)</f>
        <v/>
      </c>
    </row>
    <row r="92">
      <c r="A92" s="10" t="inlineStr">
        <is>
          <t>CNS19</t>
        </is>
      </c>
      <c r="B92" s="7" t="inlineStr">
        <is>
          <t>Other Services</t>
        </is>
      </c>
      <c r="C92" s="22">
        <f>1-C68/(1-Parameters!C56)</f>
        <v/>
      </c>
      <c r="D92" s="22">
        <f>1-D68/(1-Parameters!D56)</f>
        <v/>
      </c>
      <c r="E92" s="22">
        <f>1-E68/(1-Parameters!E56)</f>
        <v/>
      </c>
      <c r="F92" s="22">
        <f>1-F68/(1-Parameters!F56)</f>
        <v/>
      </c>
      <c r="G92" s="22">
        <f>1-G68/(1-Parameters!G56)</f>
        <v/>
      </c>
    </row>
    <row r="93">
      <c r="A93" s="10" t="inlineStr">
        <is>
          <t>CNS20</t>
        </is>
      </c>
      <c r="B93" s="7" t="inlineStr">
        <is>
          <t>Public Administration</t>
        </is>
      </c>
      <c r="C93" s="22">
        <f>1-C69/(1-Parameters!C57)</f>
        <v/>
      </c>
      <c r="D93" s="22">
        <f>1-D69/(1-Parameters!D57)</f>
        <v/>
      </c>
      <c r="E93" s="22">
        <f>1-E69/(1-Parameters!E57)</f>
        <v/>
      </c>
      <c r="F93" s="22">
        <f>1-F69/(1-Parameters!F57)</f>
        <v/>
      </c>
      <c r="G93" s="22">
        <f>1-G69/(1-Parameters!G57)</f>
        <v/>
      </c>
    </row>
    <row r="95">
      <c r="A95" s="3" t="inlineStr">
        <is>
          <t>Step 4: Aggregate Perturbation Factors (Ω)</t>
        </is>
      </c>
      <c r="B95" s="4" t="n"/>
      <c r="C95" s="4" t="n"/>
      <c r="D95" s="4" t="n"/>
      <c r="E95" s="4" t="n"/>
      <c r="F95" s="4" t="n"/>
      <c r="G95" s="4" t="n"/>
      <c r="H95" s="4" t="n"/>
    </row>
    <row r="96">
      <c r="A96" s="2" t="inlineStr">
        <is>
          <t>First compute industry-weighted perturbation θₑ for each education level at a given workplace, then weight by residence education shares.</t>
        </is>
      </c>
    </row>
    <row r="98">
      <c r="A98" s="17" t="inlineStr">
        <is>
          <t>Ω_ij: Workers with residence r = zone i, workplace s = zone j</t>
        </is>
      </c>
      <c r="B98" s="18" t="n"/>
      <c r="C98" s="18" t="n"/>
      <c r="D98" s="18" t="n"/>
      <c r="E98" s="18" t="n"/>
      <c r="F98" s="18" t="n"/>
      <c r="G98" s="18" t="n"/>
      <c r="H98" s="18" t="n"/>
    </row>
    <row r="99">
      <c r="A99" s="2" t="inlineStr">
        <is>
          <t>θₑ(s=j) = Σₒ Wₑₒ · O_jo   (industry-weighted perturbation at workplace zone j, for each education level e)</t>
        </is>
      </c>
    </row>
    <row r="100">
      <c r="A100" s="5" t="inlineStr"/>
      <c r="B100" s="5" t="inlineStr"/>
      <c r="C100" s="6" t="inlineStr">
        <is>
          <t>Less than HS</t>
        </is>
      </c>
      <c r="D100" s="6" t="inlineStr">
        <is>
          <t>HS Diploma</t>
        </is>
      </c>
      <c r="E100" s="6" t="inlineStr">
        <is>
          <t>Some College/Assoc.</t>
        </is>
      </c>
      <c r="F100" s="6" t="inlineStr">
        <is>
          <t>Bachelor's</t>
        </is>
      </c>
      <c r="G100" s="6" t="inlineStr">
        <is>
          <t>Advanced</t>
        </is>
      </c>
    </row>
    <row r="101">
      <c r="A101" s="12" t="inlineStr"/>
      <c r="B101" s="23" t="inlineStr">
        <is>
          <t>θₑ(s=j)</t>
        </is>
      </c>
      <c r="C101" s="22">
        <f>SUMPRODUCT(C74:C93,D20:D39)</f>
        <v/>
      </c>
      <c r="D101" s="22">
        <f>SUMPRODUCT(D74:D93,D20:D39)</f>
        <v/>
      </c>
      <c r="E101" s="22">
        <f>SUMPRODUCT(E74:E93,D20:D39)</f>
        <v/>
      </c>
      <c r="F101" s="22">
        <f>SUMPRODUCT(F74:F93,D20:D39)</f>
        <v/>
      </c>
      <c r="G101" s="22">
        <f>SUMPRODUCT(G74:G93,D20:D39)</f>
        <v/>
      </c>
    </row>
    <row r="103">
      <c r="B103" s="23" t="inlineStr">
        <is>
          <t>Ω_ij = Σₑ E_ie · θₑ(s=j)</t>
        </is>
      </c>
      <c r="C103" s="24">
        <f>SUMPRODUCT(C15:G15,C101:G101)</f>
        <v/>
      </c>
    </row>
    <row r="105">
      <c r="A105" s="17" t="inlineStr">
        <is>
          <t>Ω_ji: Workers with residence r = zone j, workplace s = zone i</t>
        </is>
      </c>
      <c r="B105" s="18" t="n"/>
      <c r="C105" s="18" t="n"/>
      <c r="D105" s="18" t="n"/>
      <c r="E105" s="18" t="n"/>
      <c r="F105" s="18" t="n"/>
      <c r="G105" s="18" t="n"/>
      <c r="H105" s="18" t="n"/>
    </row>
    <row r="106">
      <c r="A106" s="2" t="inlineStr">
        <is>
          <t>θₑ(s=i) = Σₒ Wₑₒ · O_io   (industry-weighted perturbation at workplace zone i, for each education level e)</t>
        </is>
      </c>
    </row>
    <row r="107">
      <c r="A107" s="5" t="inlineStr"/>
      <c r="B107" s="5" t="inlineStr"/>
      <c r="C107" s="6" t="inlineStr">
        <is>
          <t>Less than HS</t>
        </is>
      </c>
      <c r="D107" s="6" t="inlineStr">
        <is>
          <t>HS Diploma</t>
        </is>
      </c>
      <c r="E107" s="6" t="inlineStr">
        <is>
          <t>Some College/Assoc.</t>
        </is>
      </c>
      <c r="F107" s="6" t="inlineStr">
        <is>
          <t>Bachelor's</t>
        </is>
      </c>
      <c r="G107" s="6" t="inlineStr">
        <is>
          <t>Advanced</t>
        </is>
      </c>
    </row>
    <row r="108">
      <c r="A108" s="12" t="inlineStr"/>
      <c r="B108" s="23" t="inlineStr">
        <is>
          <t>θₑ(s=i)</t>
        </is>
      </c>
      <c r="C108" s="22">
        <f>SUMPRODUCT(C74:C93,C20:C39)</f>
        <v/>
      </c>
      <c r="D108" s="22">
        <f>SUMPRODUCT(D74:D93,C20:C39)</f>
        <v/>
      </c>
      <c r="E108" s="22">
        <f>SUMPRODUCT(E74:E93,C20:C39)</f>
        <v/>
      </c>
      <c r="F108" s="22">
        <f>SUMPRODUCT(F74:F93,C20:C39)</f>
        <v/>
      </c>
      <c r="G108" s="22">
        <f>SUMPRODUCT(G74:G93,C20:C39)</f>
        <v/>
      </c>
    </row>
    <row r="110">
      <c r="B110" s="23" t="inlineStr">
        <is>
          <t>Ω_ji = Σₑ E_je · θₑ(s=i)</t>
        </is>
      </c>
      <c r="C110" s="24">
        <f>SUMPRODUCT(C16:G16,C108:G108)</f>
        <v/>
      </c>
    </row>
    <row r="112">
      <c r="A112" s="3" t="inlineStr">
        <is>
          <t>Step 5: Symmetric Perturbation Factor and Perturbed Flow</t>
        </is>
      </c>
      <c r="B112" s="4" t="n"/>
      <c r="C112" s="4" t="n"/>
      <c r="D112" s="4" t="n"/>
      <c r="E112" s="4" t="n"/>
      <c r="F112" s="4" t="n"/>
      <c r="G112" s="4" t="n"/>
      <c r="H112" s="4" t="n"/>
    </row>
    <row r="113">
      <c r="A113" s="2" t="inlineStr">
        <is>
          <t>P_ij weights the two Ω factors by LODES commute counts, ensuring P_ij = P_ji (symmetry).</t>
        </is>
      </c>
    </row>
    <row r="115">
      <c r="B115" s="13" t="inlineStr">
        <is>
          <t>P_ij = (L_ij · Ω_ij + L_ji · Ω_ji) / (L_ij + L_ji)</t>
        </is>
      </c>
    </row>
    <row r="116">
      <c r="B116" s="23" t="inlineStr">
        <is>
          <t>P_ij (symmetric perturbation factor)</t>
        </is>
      </c>
      <c r="C116" s="24">
        <f>IF(C43+C44=0,(C103+C110)/2,(C43*C103+C44*C110)/(C43+C44))</f>
        <v/>
      </c>
    </row>
    <row r="118">
      <c r="A118" s="17" t="inlineStr">
        <is>
          <t>Final Result: Perturbed Flow</t>
        </is>
      </c>
      <c r="B118" s="18" t="n"/>
      <c r="C118" s="18" t="n"/>
      <c r="D118" s="18" t="n"/>
      <c r="E118" s="18" t="n"/>
      <c r="F118" s="18" t="n"/>
      <c r="G118" s="18" t="n"/>
      <c r="H118" s="18" t="n"/>
    </row>
    <row r="119">
      <c r="B119" s="13" t="inlineStr">
        <is>
          <t>G_ij = T_ij × P_ij</t>
        </is>
      </c>
    </row>
    <row r="120">
      <c r="B120" s="7" t="inlineStr">
        <is>
          <t>Baseline flow (T_ij)</t>
        </is>
      </c>
      <c r="C120" s="25">
        <f>C45</f>
        <v/>
      </c>
    </row>
    <row r="121">
      <c r="B121" s="7" t="inlineStr">
        <is>
          <t>Perturbation factor (P_ij)</t>
        </is>
      </c>
      <c r="C121" s="22">
        <f>C116</f>
        <v/>
      </c>
    </row>
    <row r="122">
      <c r="B122" s="26" t="inlineStr">
        <is>
          <t>Perturbed flow (G_ij)</t>
        </is>
      </c>
      <c r="C122" s="27">
        <f>C45*C116</f>
        <v/>
      </c>
    </row>
    <row r="123">
      <c r="B123" s="7" t="inlineStr">
        <is>
          <t>Absolute change (G − T)</t>
        </is>
      </c>
      <c r="C123" s="25">
        <f>C122-C45</f>
        <v/>
      </c>
    </row>
    <row r="124">
      <c r="B124" s="7" t="inlineStr">
        <is>
          <t>Percent change</t>
        </is>
      </c>
      <c r="C124" s="11">
        <f>(C122-C45)/C45</f>
        <v/>
      </c>
    </row>
    <row r="126">
      <c r="A126" s="17" t="inlineStr">
        <is>
          <t>Interpretation</t>
        </is>
      </c>
      <c r="B126" s="18" t="n"/>
      <c r="C126" s="18" t="n"/>
      <c r="D126" s="18" t="n"/>
      <c r="E126" s="18" t="n"/>
      <c r="F126" s="18" t="n"/>
      <c r="G126" s="18" t="n"/>
      <c r="H126" s="18" t="n"/>
    </row>
    <row r="127" ht="40" customHeight="1">
      <c r="A127" s="2" t="inlineStr">
        <is>
          <t>With α = 0.25, WFH rates increase by 25% proportionally across all education-industry segments. The perturbation factor P_ij reflects the demographic composition of commuters between these two zones — zone pairs with more WFH-susceptible workers (higher education, office-based industries) show larger trip reductions.</t>
        </is>
      </c>
    </row>
  </sheetData>
  <mergeCells count="23">
    <mergeCell ref="A48:H48"/>
    <mergeCell ref="B6:H6"/>
    <mergeCell ref="A98:H98"/>
    <mergeCell ref="A1:H1"/>
    <mergeCell ref="A99:H99"/>
    <mergeCell ref="A118:H118"/>
    <mergeCell ref="A18:H18"/>
    <mergeCell ref="A105:H105"/>
    <mergeCell ref="A95:H95"/>
    <mergeCell ref="A113:H113"/>
    <mergeCell ref="A2:H2"/>
    <mergeCell ref="A71:H71"/>
    <mergeCell ref="A42:H42"/>
    <mergeCell ref="A47:H47"/>
    <mergeCell ref="A126:H126"/>
    <mergeCell ref="A8:H8"/>
    <mergeCell ref="A4:H4"/>
    <mergeCell ref="A106:H106"/>
    <mergeCell ref="A96:H96"/>
    <mergeCell ref="A72:H72"/>
    <mergeCell ref="A112:H112"/>
    <mergeCell ref="A13:H13"/>
    <mergeCell ref="A127:H1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Example 2: Two Census Tracts in the NYC Metro Area</t>
        </is>
      </c>
    </row>
    <row r="2">
      <c r="A2" s="2" t="inlineStr">
        <is>
          <t>Tract 50, Bergen County NJ (suburban bedroom community) vs. Tract 100, Midtown Manhattan (office district)</t>
        </is>
      </c>
    </row>
    <row r="4">
      <c r="A4" s="3" t="inlineStr">
        <is>
          <t>Scenario Parameter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12" t="inlineStr"/>
      <c r="B5" s="13" t="inlineStr">
        <is>
          <t>α (proportional WFH scaling factor)</t>
        </is>
      </c>
      <c r="C5" s="14" t="n">
        <v>0.25</v>
      </c>
    </row>
    <row r="6">
      <c r="B6" s="2" t="inlineStr">
        <is>
          <t>Δwₑₒ = α · wₑₒ  →  A positive α means WFH increases proportionally across all segments.</t>
        </is>
      </c>
    </row>
    <row r="8">
      <c r="A8" s="3" t="inlineStr">
        <is>
          <t>Step 1: Demographic Inputs for the Two Tracts</t>
        </is>
      </c>
      <c r="B8" s="4" t="n"/>
      <c r="C8" s="4" t="n"/>
      <c r="D8" s="4" t="n"/>
      <c r="E8" s="4" t="n"/>
      <c r="F8" s="4" t="n"/>
      <c r="G8" s="4" t="n"/>
      <c r="H8" s="4" t="n"/>
    </row>
    <row r="9">
      <c r="B9" s="5" t="inlineStr"/>
      <c r="C9" s="6" t="inlineStr">
        <is>
          <t>Zone i</t>
        </is>
      </c>
      <c r="D9" s="6" t="inlineStr">
        <is>
          <t>Zone j</t>
        </is>
      </c>
    </row>
    <row r="10">
      <c r="B10" s="7" t="inlineStr">
        <is>
          <t>Tract Name</t>
        </is>
      </c>
      <c r="C10" s="15" t="inlineStr">
        <is>
          <t>Tract 50, Bergen Co. NJ</t>
        </is>
      </c>
      <c r="D10" s="15" t="inlineStr">
        <is>
          <t>Tract 100, Midtown Manhattan</t>
        </is>
      </c>
    </row>
    <row r="11">
      <c r="B11" s="7" t="inlineStr">
        <is>
          <t>FIPS Code</t>
        </is>
      </c>
      <c r="C11" s="16" t="inlineStr">
        <is>
          <t>34003005000</t>
        </is>
      </c>
      <c r="D11" s="16" t="inlineStr">
        <is>
          <t>36061010000</t>
        </is>
      </c>
    </row>
    <row r="13">
      <c r="A13" s="17" t="inlineStr">
        <is>
          <t>Education Shares at Residence (Eᵣₑ) — from ACS Table B15003</t>
        </is>
      </c>
      <c r="B13" s="18" t="n"/>
      <c r="C13" s="18" t="n"/>
      <c r="D13" s="18" t="n"/>
      <c r="E13" s="18" t="n"/>
      <c r="F13" s="18" t="n"/>
      <c r="G13" s="18" t="n"/>
      <c r="H13" s="18" t="n"/>
    </row>
    <row r="14">
      <c r="A14" s="5" t="inlineStr"/>
      <c r="B14" s="5" t="inlineStr"/>
      <c r="C14" s="6" t="inlineStr">
        <is>
          <t>Less than HS</t>
        </is>
      </c>
      <c r="D14" s="6" t="inlineStr">
        <is>
          <t>HS Diploma</t>
        </is>
      </c>
      <c r="E14" s="6" t="inlineStr">
        <is>
          <t>Some College/Assoc.</t>
        </is>
      </c>
      <c r="F14" s="6" t="inlineStr">
        <is>
          <t>Bachelor's</t>
        </is>
      </c>
      <c r="G14" s="6" t="inlineStr">
        <is>
          <t>Advanced</t>
        </is>
      </c>
      <c r="H14" s="6" t="inlineStr">
        <is>
          <t>Total</t>
        </is>
      </c>
    </row>
    <row r="15">
      <c r="A15" s="12" t="inlineStr"/>
      <c r="B15" s="7" t="inlineStr">
        <is>
          <t>Zone i: Tract 50, Bergen Co. NJ</t>
        </is>
      </c>
      <c r="C15" s="8" t="n">
        <v>0.05218</v>
      </c>
      <c r="D15" s="8" t="n">
        <v>0.392139</v>
      </c>
      <c r="E15" s="8" t="n">
        <v>0.247572</v>
      </c>
      <c r="F15" s="8" t="n">
        <v>0.185905</v>
      </c>
      <c r="G15" s="8" t="n">
        <v>0.122205</v>
      </c>
      <c r="H15" s="19">
        <f>SUM(C15:G15)</f>
        <v/>
      </c>
    </row>
    <row r="16">
      <c r="A16" s="12" t="inlineStr"/>
      <c r="B16" s="7" t="inlineStr">
        <is>
          <t>Zone j: Tract 100, Midtown Manhat</t>
        </is>
      </c>
      <c r="C16" s="8" t="n">
        <v>0.006887</v>
      </c>
      <c r="D16" s="8" t="n">
        <v>0.097107</v>
      </c>
      <c r="E16" s="8" t="n">
        <v>0.013774</v>
      </c>
      <c r="F16" s="8" t="n">
        <v>0.469008</v>
      </c>
      <c r="G16" s="8" t="n">
        <v>0.413223</v>
      </c>
      <c r="H16" s="19">
        <f>SUM(C16:G16)</f>
        <v/>
      </c>
    </row>
    <row r="18">
      <c r="A18" s="17" t="inlineStr">
        <is>
          <t>Industry Shares at Workplace (Oₛₒ) — from LODES WAC files</t>
        </is>
      </c>
      <c r="B18" s="18" t="n"/>
      <c r="C18" s="18" t="n"/>
      <c r="D18" s="18" t="n"/>
      <c r="E18" s="18" t="n"/>
      <c r="F18" s="18" t="n"/>
      <c r="G18" s="18" t="n"/>
      <c r="H18" s="18" t="n"/>
    </row>
    <row r="19">
      <c r="A19" s="6" t="inlineStr">
        <is>
          <t>LODES</t>
        </is>
      </c>
      <c r="B19" s="5" t="inlineStr">
        <is>
          <t>Industry Sector</t>
        </is>
      </c>
      <c r="C19" s="6" t="inlineStr">
        <is>
          <t>Zone i (workplace)</t>
        </is>
      </c>
      <c r="D19" s="6" t="inlineStr">
        <is>
          <t>Zone j (workplace)</t>
        </is>
      </c>
    </row>
    <row r="20">
      <c r="A20" s="10" t="inlineStr">
        <is>
          <t>CNS01</t>
        </is>
      </c>
      <c r="B20" s="7" t="inlineStr">
        <is>
          <t>Agriculture, Forestry, Fishing</t>
        </is>
      </c>
      <c r="C20" s="8" t="n">
        <v>0.000163</v>
      </c>
      <c r="D20" s="8" t="n">
        <v>0</v>
      </c>
    </row>
    <row r="21">
      <c r="A21" s="10" t="inlineStr">
        <is>
          <t>CNS02</t>
        </is>
      </c>
      <c r="B21" s="7" t="inlineStr">
        <is>
          <t>Mining, Quarrying, Oil/Gas</t>
        </is>
      </c>
      <c r="C21" s="8" t="n">
        <v>0</v>
      </c>
      <c r="D21" s="8" t="n">
        <v>0</v>
      </c>
    </row>
    <row r="22">
      <c r="A22" s="10" t="inlineStr">
        <is>
          <t>CNS03</t>
        </is>
      </c>
      <c r="B22" s="7" t="inlineStr">
        <is>
          <t>Utilities</t>
        </is>
      </c>
      <c r="C22" s="8" t="n">
        <v>0.000894</v>
      </c>
      <c r="D22" s="8" t="n">
        <v>0</v>
      </c>
    </row>
    <row r="23">
      <c r="A23" s="10" t="inlineStr">
        <is>
          <t>CNS04</t>
        </is>
      </c>
      <c r="B23" s="7" t="inlineStr">
        <is>
          <t>Construction</t>
        </is>
      </c>
      <c r="C23" s="8" t="n">
        <v>0.060941</v>
      </c>
      <c r="D23" s="8" t="n">
        <v>0.006832</v>
      </c>
    </row>
    <row r="24">
      <c r="A24" s="10" t="inlineStr">
        <is>
          <t>CNS05</t>
        </is>
      </c>
      <c r="B24" s="7" t="inlineStr">
        <is>
          <t>Manufacturing</t>
        </is>
      </c>
      <c r="C24" s="8" t="n">
        <v>0.231494</v>
      </c>
      <c r="D24" s="8" t="n">
        <v>0.000277</v>
      </c>
    </row>
    <row r="25">
      <c r="A25" s="10" t="inlineStr">
        <is>
          <t>CNS06</t>
        </is>
      </c>
      <c r="B25" s="7" t="inlineStr">
        <is>
          <t>Wholesale Trade</t>
        </is>
      </c>
      <c r="C25" s="8" t="n">
        <v>0.221662</v>
      </c>
      <c r="D25" s="8" t="n">
        <v>0.009764</v>
      </c>
    </row>
    <row r="26">
      <c r="A26" s="10" t="inlineStr">
        <is>
          <t>CNS07</t>
        </is>
      </c>
      <c r="B26" s="7" t="inlineStr">
        <is>
          <t>Retail Trade</t>
        </is>
      </c>
      <c r="C26" s="8" t="n">
        <v>0.05956</v>
      </c>
      <c r="D26" s="8" t="n">
        <v>0.006472</v>
      </c>
    </row>
    <row r="27">
      <c r="A27" s="10" t="inlineStr">
        <is>
          <t>CNS08</t>
        </is>
      </c>
      <c r="B27" s="7" t="inlineStr">
        <is>
          <t>Transportation &amp; Warehousing</t>
        </is>
      </c>
      <c r="C27" s="8" t="n">
        <v>0.15609</v>
      </c>
      <c r="D27" s="8" t="n">
        <v>0.000885</v>
      </c>
    </row>
    <row r="28">
      <c r="A28" s="10" t="inlineStr">
        <is>
          <t>CNS09</t>
        </is>
      </c>
      <c r="B28" s="7" t="inlineStr">
        <is>
          <t>Information</t>
        </is>
      </c>
      <c r="C28" s="8" t="n">
        <v>0.007394</v>
      </c>
      <c r="D28" s="8" t="n">
        <v>0.039359</v>
      </c>
    </row>
    <row r="29">
      <c r="A29" s="10" t="inlineStr">
        <is>
          <t>CNS10</t>
        </is>
      </c>
      <c r="B29" s="7" t="inlineStr">
        <is>
          <t>Finance &amp; Insurance</t>
        </is>
      </c>
      <c r="C29" s="8" t="n">
        <v>0.00585</v>
      </c>
      <c r="D29" s="8" t="n">
        <v>0.414643</v>
      </c>
    </row>
    <row r="30">
      <c r="A30" s="10" t="inlineStr">
        <is>
          <t>CNS11</t>
        </is>
      </c>
      <c r="B30" s="7" t="inlineStr">
        <is>
          <t>Real Estate &amp; Rental/Leasing</t>
        </is>
      </c>
      <c r="C30" s="8" t="n">
        <v>0.044528</v>
      </c>
      <c r="D30" s="8" t="n">
        <v>0.042319</v>
      </c>
    </row>
    <row r="31">
      <c r="A31" s="10" t="inlineStr">
        <is>
          <t>CNS12</t>
        </is>
      </c>
      <c r="B31" s="7" t="inlineStr">
        <is>
          <t>Professional, Scientific, Tech</t>
        </is>
      </c>
      <c r="C31" s="8" t="n">
        <v>0.04859</v>
      </c>
      <c r="D31" s="8" t="n">
        <v>0.268075</v>
      </c>
    </row>
    <row r="32">
      <c r="A32" s="10" t="inlineStr">
        <is>
          <t>CNS13</t>
        </is>
      </c>
      <c r="B32" s="7" t="inlineStr">
        <is>
          <t>Management of Companies</t>
        </is>
      </c>
      <c r="C32" s="8" t="n">
        <v>0.007313</v>
      </c>
      <c r="D32" s="8" t="n">
        <v>0.011562</v>
      </c>
    </row>
    <row r="33">
      <c r="A33" s="10" t="inlineStr">
        <is>
          <t>CNS14</t>
        </is>
      </c>
      <c r="B33" s="7" t="inlineStr">
        <is>
          <t>Admin/Support/Waste Mgmt</t>
        </is>
      </c>
      <c r="C33" s="8" t="n">
        <v>0.066547</v>
      </c>
      <c r="D33" s="8" t="n">
        <v>0.019002</v>
      </c>
    </row>
    <row r="34">
      <c r="A34" s="10" t="inlineStr">
        <is>
          <t>CNS15</t>
        </is>
      </c>
      <c r="B34" s="7" t="inlineStr">
        <is>
          <t>Educational Services</t>
        </is>
      </c>
      <c r="C34" s="8" t="n">
        <v>0.009344</v>
      </c>
      <c r="D34" s="8" t="n">
        <v>0.002683</v>
      </c>
    </row>
    <row r="35">
      <c r="A35" s="10" t="inlineStr">
        <is>
          <t>CNS16</t>
        </is>
      </c>
      <c r="B35" s="7" t="inlineStr">
        <is>
          <t>Healthcare &amp; Social Assistance</t>
        </is>
      </c>
      <c r="C35" s="8" t="n">
        <v>0.0065</v>
      </c>
      <c r="D35" s="8" t="n">
        <v>0.06782100000000001</v>
      </c>
    </row>
    <row r="36">
      <c r="A36" s="10" t="inlineStr">
        <is>
          <t>CNS17</t>
        </is>
      </c>
      <c r="B36" s="7" t="inlineStr">
        <is>
          <t>Arts, Entertainment, Recreation</t>
        </is>
      </c>
      <c r="C36" s="8" t="n">
        <v>0.001788</v>
      </c>
      <c r="D36" s="8" t="n">
        <v>0.004591</v>
      </c>
    </row>
    <row r="37">
      <c r="A37" s="10" t="inlineStr">
        <is>
          <t>CNS18</t>
        </is>
      </c>
      <c r="B37" s="7" t="inlineStr">
        <is>
          <t>Accommodation &amp; Food Services</t>
        </is>
      </c>
      <c r="C37" s="8" t="n">
        <v>0.03884</v>
      </c>
      <c r="D37" s="8" t="n">
        <v>0.069232</v>
      </c>
    </row>
    <row r="38">
      <c r="A38" s="10" t="inlineStr">
        <is>
          <t>CNS19</t>
        </is>
      </c>
      <c r="B38" s="7" t="inlineStr">
        <is>
          <t>Other Services</t>
        </is>
      </c>
      <c r="C38" s="8" t="n">
        <v>0.021045</v>
      </c>
      <c r="D38" s="8" t="n">
        <v>0.024866</v>
      </c>
    </row>
    <row r="39">
      <c r="A39" s="10" t="inlineStr">
        <is>
          <t>CNS20</t>
        </is>
      </c>
      <c r="B39" s="7" t="inlineStr">
        <is>
          <t>Public Administration</t>
        </is>
      </c>
      <c r="C39" s="8" t="n">
        <v>0.011457</v>
      </c>
      <c r="D39" s="8" t="n">
        <v>0.011617</v>
      </c>
    </row>
    <row r="40">
      <c r="A40" s="12" t="inlineStr"/>
      <c r="B40" s="20" t="inlineStr">
        <is>
          <t>Total</t>
        </is>
      </c>
      <c r="C40" s="19">
        <f>SUM(C20:C39)</f>
        <v/>
      </c>
      <c r="D40" s="19">
        <f>SUM(D20:D39)</f>
        <v/>
      </c>
    </row>
    <row r="42">
      <c r="A42" s="17" t="inlineStr">
        <is>
          <t>LODES Commute Counts and Deep Gravity Baseline Flow</t>
        </is>
      </c>
      <c r="B42" s="18" t="n"/>
      <c r="C42" s="18" t="n"/>
      <c r="D42" s="18" t="n"/>
      <c r="E42" s="18" t="n"/>
      <c r="F42" s="18" t="n"/>
      <c r="G42" s="18" t="n"/>
      <c r="H42" s="18" t="n"/>
    </row>
    <row r="43">
      <c r="B43" s="7" t="inlineStr">
        <is>
          <t>L_ij (workers with residence r=i, workplace s=j)</t>
        </is>
      </c>
      <c r="C43" s="21" t="n">
        <v>0</v>
      </c>
    </row>
    <row r="44">
      <c r="B44" s="7" t="inlineStr">
        <is>
          <t>L_ji (workers with residence r=j, workplace s=i)</t>
        </is>
      </c>
      <c r="C44" s="21" t="n">
        <v>0</v>
      </c>
    </row>
    <row r="45">
      <c r="B45" s="7" t="inlineStr">
        <is>
          <t>T_ij (Deep Gravity baseline flow, dummy)</t>
        </is>
      </c>
      <c r="C45" s="21" t="n">
        <v>2800</v>
      </c>
    </row>
    <row r="47">
      <c r="A47" s="3" t="inlineStr">
        <is>
          <t>Step 2: Bounded Perturbation Deltas  Δwₑₒ = max(−wₑₒ, min(α·wₑₒ, uₑₒ−wₑₒ))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2" t="inlineStr">
        <is>
          <t>Change in WFH rate for each segment, bounded by structural feasibility. Positive = more WFH; negative = less WFH.</t>
        </is>
      </c>
    </row>
    <row r="49">
      <c r="A49" s="6" t="inlineStr">
        <is>
          <t>LODES</t>
        </is>
      </c>
      <c r="B49" s="5" t="inlineStr">
        <is>
          <t>Industry</t>
        </is>
      </c>
      <c r="C49" s="6" t="inlineStr">
        <is>
          <t>Less than HS</t>
        </is>
      </c>
      <c r="D49" s="6" t="inlineStr">
        <is>
          <t>HS Diploma</t>
        </is>
      </c>
      <c r="E49" s="6" t="inlineStr">
        <is>
          <t>Some College/Assoc.</t>
        </is>
      </c>
      <c r="F49" s="6" t="inlineStr">
        <is>
          <t>Bachelor's</t>
        </is>
      </c>
      <c r="G49" s="6" t="inlineStr">
        <is>
          <t>Advanced</t>
        </is>
      </c>
    </row>
    <row r="50">
      <c r="A50" s="10" t="inlineStr">
        <is>
          <t>CNS01</t>
        </is>
      </c>
      <c r="B50" s="7" t="inlineStr">
        <is>
          <t>Agriculture, Forestry, Fishing</t>
        </is>
      </c>
      <c r="C50" s="11">
        <f>MAX(-Parameters!C38,MIN($C$5*Parameters!C38,Parameters!C62-Parameters!C38))</f>
        <v/>
      </c>
      <c r="D50" s="11">
        <f>MAX(-Parameters!D38,MIN($C$5*Parameters!D38,Parameters!D62-Parameters!D38))</f>
        <v/>
      </c>
      <c r="E50" s="11">
        <f>MAX(-Parameters!E38,MIN($C$5*Parameters!E38,Parameters!E62-Parameters!E38))</f>
        <v/>
      </c>
      <c r="F50" s="11">
        <f>MAX(-Parameters!F38,MIN($C$5*Parameters!F38,Parameters!F62-Parameters!F38))</f>
        <v/>
      </c>
      <c r="G50" s="11">
        <f>MAX(-Parameters!G38,MIN($C$5*Parameters!G38,Parameters!G62-Parameters!G38))</f>
        <v/>
      </c>
    </row>
    <row r="51">
      <c r="A51" s="10" t="inlineStr">
        <is>
          <t>CNS02</t>
        </is>
      </c>
      <c r="B51" s="7" t="inlineStr">
        <is>
          <t>Mining, Quarrying, Oil/Gas</t>
        </is>
      </c>
      <c r="C51" s="11">
        <f>MAX(-Parameters!C39,MIN($C$5*Parameters!C39,Parameters!C63-Parameters!C39))</f>
        <v/>
      </c>
      <c r="D51" s="11">
        <f>MAX(-Parameters!D39,MIN($C$5*Parameters!D39,Parameters!D63-Parameters!D39))</f>
        <v/>
      </c>
      <c r="E51" s="11">
        <f>MAX(-Parameters!E39,MIN($C$5*Parameters!E39,Parameters!E63-Parameters!E39))</f>
        <v/>
      </c>
      <c r="F51" s="11">
        <f>MAX(-Parameters!F39,MIN($C$5*Parameters!F39,Parameters!F63-Parameters!F39))</f>
        <v/>
      </c>
      <c r="G51" s="11">
        <f>MAX(-Parameters!G39,MIN($C$5*Parameters!G39,Parameters!G63-Parameters!G39))</f>
        <v/>
      </c>
    </row>
    <row r="52">
      <c r="A52" s="10" t="inlineStr">
        <is>
          <t>CNS03</t>
        </is>
      </c>
      <c r="B52" s="7" t="inlineStr">
        <is>
          <t>Utilities</t>
        </is>
      </c>
      <c r="C52" s="11">
        <f>MAX(-Parameters!C40,MIN($C$5*Parameters!C40,Parameters!C64-Parameters!C40))</f>
        <v/>
      </c>
      <c r="D52" s="11">
        <f>MAX(-Parameters!D40,MIN($C$5*Parameters!D40,Parameters!D64-Parameters!D40))</f>
        <v/>
      </c>
      <c r="E52" s="11">
        <f>MAX(-Parameters!E40,MIN($C$5*Parameters!E40,Parameters!E64-Parameters!E40))</f>
        <v/>
      </c>
      <c r="F52" s="11">
        <f>MAX(-Parameters!F40,MIN($C$5*Parameters!F40,Parameters!F64-Parameters!F40))</f>
        <v/>
      </c>
      <c r="G52" s="11">
        <f>MAX(-Parameters!G40,MIN($C$5*Parameters!G40,Parameters!G64-Parameters!G40))</f>
        <v/>
      </c>
    </row>
    <row r="53">
      <c r="A53" s="10" t="inlineStr">
        <is>
          <t>CNS04</t>
        </is>
      </c>
      <c r="B53" s="7" t="inlineStr">
        <is>
          <t>Construction</t>
        </is>
      </c>
      <c r="C53" s="11">
        <f>MAX(-Parameters!C41,MIN($C$5*Parameters!C41,Parameters!C65-Parameters!C41))</f>
        <v/>
      </c>
      <c r="D53" s="11">
        <f>MAX(-Parameters!D41,MIN($C$5*Parameters!D41,Parameters!D65-Parameters!D41))</f>
        <v/>
      </c>
      <c r="E53" s="11">
        <f>MAX(-Parameters!E41,MIN($C$5*Parameters!E41,Parameters!E65-Parameters!E41))</f>
        <v/>
      </c>
      <c r="F53" s="11">
        <f>MAX(-Parameters!F41,MIN($C$5*Parameters!F41,Parameters!F65-Parameters!F41))</f>
        <v/>
      </c>
      <c r="G53" s="11">
        <f>MAX(-Parameters!G41,MIN($C$5*Parameters!G41,Parameters!G65-Parameters!G41))</f>
        <v/>
      </c>
    </row>
    <row r="54">
      <c r="A54" s="10" t="inlineStr">
        <is>
          <t>CNS05</t>
        </is>
      </c>
      <c r="B54" s="7" t="inlineStr">
        <is>
          <t>Manufacturing</t>
        </is>
      </c>
      <c r="C54" s="11">
        <f>MAX(-Parameters!C42,MIN($C$5*Parameters!C42,Parameters!C66-Parameters!C42))</f>
        <v/>
      </c>
      <c r="D54" s="11">
        <f>MAX(-Parameters!D42,MIN($C$5*Parameters!D42,Parameters!D66-Parameters!D42))</f>
        <v/>
      </c>
      <c r="E54" s="11">
        <f>MAX(-Parameters!E42,MIN($C$5*Parameters!E42,Parameters!E66-Parameters!E42))</f>
        <v/>
      </c>
      <c r="F54" s="11">
        <f>MAX(-Parameters!F42,MIN($C$5*Parameters!F42,Parameters!F66-Parameters!F42))</f>
        <v/>
      </c>
      <c r="G54" s="11">
        <f>MAX(-Parameters!G42,MIN($C$5*Parameters!G42,Parameters!G66-Parameters!G42))</f>
        <v/>
      </c>
    </row>
    <row r="55">
      <c r="A55" s="10" t="inlineStr">
        <is>
          <t>CNS06</t>
        </is>
      </c>
      <c r="B55" s="7" t="inlineStr">
        <is>
          <t>Wholesale Trade</t>
        </is>
      </c>
      <c r="C55" s="11">
        <f>MAX(-Parameters!C43,MIN($C$5*Parameters!C43,Parameters!C67-Parameters!C43))</f>
        <v/>
      </c>
      <c r="D55" s="11">
        <f>MAX(-Parameters!D43,MIN($C$5*Parameters!D43,Parameters!D67-Parameters!D43))</f>
        <v/>
      </c>
      <c r="E55" s="11">
        <f>MAX(-Parameters!E43,MIN($C$5*Parameters!E43,Parameters!E67-Parameters!E43))</f>
        <v/>
      </c>
      <c r="F55" s="11">
        <f>MAX(-Parameters!F43,MIN($C$5*Parameters!F43,Parameters!F67-Parameters!F43))</f>
        <v/>
      </c>
      <c r="G55" s="11">
        <f>MAX(-Parameters!G43,MIN($C$5*Parameters!G43,Parameters!G67-Parameters!G43))</f>
        <v/>
      </c>
    </row>
    <row r="56">
      <c r="A56" s="10" t="inlineStr">
        <is>
          <t>CNS07</t>
        </is>
      </c>
      <c r="B56" s="7" t="inlineStr">
        <is>
          <t>Retail Trade</t>
        </is>
      </c>
      <c r="C56" s="11">
        <f>MAX(-Parameters!C44,MIN($C$5*Parameters!C44,Parameters!C68-Parameters!C44))</f>
        <v/>
      </c>
      <c r="D56" s="11">
        <f>MAX(-Parameters!D44,MIN($C$5*Parameters!D44,Parameters!D68-Parameters!D44))</f>
        <v/>
      </c>
      <c r="E56" s="11">
        <f>MAX(-Parameters!E44,MIN($C$5*Parameters!E44,Parameters!E68-Parameters!E44))</f>
        <v/>
      </c>
      <c r="F56" s="11">
        <f>MAX(-Parameters!F44,MIN($C$5*Parameters!F44,Parameters!F68-Parameters!F44))</f>
        <v/>
      </c>
      <c r="G56" s="11">
        <f>MAX(-Parameters!G44,MIN($C$5*Parameters!G44,Parameters!G68-Parameters!G44))</f>
        <v/>
      </c>
    </row>
    <row r="57">
      <c r="A57" s="10" t="inlineStr">
        <is>
          <t>CNS08</t>
        </is>
      </c>
      <c r="B57" s="7" t="inlineStr">
        <is>
          <t>Transportation &amp; Warehousing</t>
        </is>
      </c>
      <c r="C57" s="11">
        <f>MAX(-Parameters!C45,MIN($C$5*Parameters!C45,Parameters!C69-Parameters!C45))</f>
        <v/>
      </c>
      <c r="D57" s="11">
        <f>MAX(-Parameters!D45,MIN($C$5*Parameters!D45,Parameters!D69-Parameters!D45))</f>
        <v/>
      </c>
      <c r="E57" s="11">
        <f>MAX(-Parameters!E45,MIN($C$5*Parameters!E45,Parameters!E69-Parameters!E45))</f>
        <v/>
      </c>
      <c r="F57" s="11">
        <f>MAX(-Parameters!F45,MIN($C$5*Parameters!F45,Parameters!F69-Parameters!F45))</f>
        <v/>
      </c>
      <c r="G57" s="11">
        <f>MAX(-Parameters!G45,MIN($C$5*Parameters!G45,Parameters!G69-Parameters!G45))</f>
        <v/>
      </c>
    </row>
    <row r="58">
      <c r="A58" s="10" t="inlineStr">
        <is>
          <t>CNS09</t>
        </is>
      </c>
      <c r="B58" s="7" t="inlineStr">
        <is>
          <t>Information</t>
        </is>
      </c>
      <c r="C58" s="11">
        <f>MAX(-Parameters!C46,MIN($C$5*Parameters!C46,Parameters!C70-Parameters!C46))</f>
        <v/>
      </c>
      <c r="D58" s="11">
        <f>MAX(-Parameters!D46,MIN($C$5*Parameters!D46,Parameters!D70-Parameters!D46))</f>
        <v/>
      </c>
      <c r="E58" s="11">
        <f>MAX(-Parameters!E46,MIN($C$5*Parameters!E46,Parameters!E70-Parameters!E46))</f>
        <v/>
      </c>
      <c r="F58" s="11">
        <f>MAX(-Parameters!F46,MIN($C$5*Parameters!F46,Parameters!F70-Parameters!F46))</f>
        <v/>
      </c>
      <c r="G58" s="11">
        <f>MAX(-Parameters!G46,MIN($C$5*Parameters!G46,Parameters!G70-Parameters!G46))</f>
        <v/>
      </c>
    </row>
    <row r="59">
      <c r="A59" s="10" t="inlineStr">
        <is>
          <t>CNS10</t>
        </is>
      </c>
      <c r="B59" s="7" t="inlineStr">
        <is>
          <t>Finance &amp; Insurance</t>
        </is>
      </c>
      <c r="C59" s="11">
        <f>MAX(-Parameters!C47,MIN($C$5*Parameters!C47,Parameters!C71-Parameters!C47))</f>
        <v/>
      </c>
      <c r="D59" s="11">
        <f>MAX(-Parameters!D47,MIN($C$5*Parameters!D47,Parameters!D71-Parameters!D47))</f>
        <v/>
      </c>
      <c r="E59" s="11">
        <f>MAX(-Parameters!E47,MIN($C$5*Parameters!E47,Parameters!E71-Parameters!E47))</f>
        <v/>
      </c>
      <c r="F59" s="11">
        <f>MAX(-Parameters!F47,MIN($C$5*Parameters!F47,Parameters!F71-Parameters!F47))</f>
        <v/>
      </c>
      <c r="G59" s="11">
        <f>MAX(-Parameters!G47,MIN($C$5*Parameters!G47,Parameters!G71-Parameters!G47))</f>
        <v/>
      </c>
    </row>
    <row r="60">
      <c r="A60" s="10" t="inlineStr">
        <is>
          <t>CNS11</t>
        </is>
      </c>
      <c r="B60" s="7" t="inlineStr">
        <is>
          <t>Real Estate &amp; Rental/Leasing</t>
        </is>
      </c>
      <c r="C60" s="11">
        <f>MAX(-Parameters!C48,MIN($C$5*Parameters!C48,Parameters!C72-Parameters!C48))</f>
        <v/>
      </c>
      <c r="D60" s="11">
        <f>MAX(-Parameters!D48,MIN($C$5*Parameters!D48,Parameters!D72-Parameters!D48))</f>
        <v/>
      </c>
      <c r="E60" s="11">
        <f>MAX(-Parameters!E48,MIN($C$5*Parameters!E48,Parameters!E72-Parameters!E48))</f>
        <v/>
      </c>
      <c r="F60" s="11">
        <f>MAX(-Parameters!F48,MIN($C$5*Parameters!F48,Parameters!F72-Parameters!F48))</f>
        <v/>
      </c>
      <c r="G60" s="11">
        <f>MAX(-Parameters!G48,MIN($C$5*Parameters!G48,Parameters!G72-Parameters!G48))</f>
        <v/>
      </c>
    </row>
    <row r="61">
      <c r="A61" s="10" t="inlineStr">
        <is>
          <t>CNS12</t>
        </is>
      </c>
      <c r="B61" s="7" t="inlineStr">
        <is>
          <t>Professional, Scientific, Tech</t>
        </is>
      </c>
      <c r="C61" s="11">
        <f>MAX(-Parameters!C49,MIN($C$5*Parameters!C49,Parameters!C73-Parameters!C49))</f>
        <v/>
      </c>
      <c r="D61" s="11">
        <f>MAX(-Parameters!D49,MIN($C$5*Parameters!D49,Parameters!D73-Parameters!D49))</f>
        <v/>
      </c>
      <c r="E61" s="11">
        <f>MAX(-Parameters!E49,MIN($C$5*Parameters!E49,Parameters!E73-Parameters!E49))</f>
        <v/>
      </c>
      <c r="F61" s="11">
        <f>MAX(-Parameters!F49,MIN($C$5*Parameters!F49,Parameters!F73-Parameters!F49))</f>
        <v/>
      </c>
      <c r="G61" s="11">
        <f>MAX(-Parameters!G49,MIN($C$5*Parameters!G49,Parameters!G73-Parameters!G49))</f>
        <v/>
      </c>
    </row>
    <row r="62">
      <c r="A62" s="10" t="inlineStr">
        <is>
          <t>CNS13</t>
        </is>
      </c>
      <c r="B62" s="7" t="inlineStr">
        <is>
          <t>Management of Companies</t>
        </is>
      </c>
      <c r="C62" s="11">
        <f>MAX(-Parameters!C50,MIN($C$5*Parameters!C50,Parameters!C74-Parameters!C50))</f>
        <v/>
      </c>
      <c r="D62" s="11">
        <f>MAX(-Parameters!D50,MIN($C$5*Parameters!D50,Parameters!D74-Parameters!D50))</f>
        <v/>
      </c>
      <c r="E62" s="11">
        <f>MAX(-Parameters!E50,MIN($C$5*Parameters!E50,Parameters!E74-Parameters!E50))</f>
        <v/>
      </c>
      <c r="F62" s="11">
        <f>MAX(-Parameters!F50,MIN($C$5*Parameters!F50,Parameters!F74-Parameters!F50))</f>
        <v/>
      </c>
      <c r="G62" s="11">
        <f>MAX(-Parameters!G50,MIN($C$5*Parameters!G50,Parameters!G74-Parameters!G50))</f>
        <v/>
      </c>
    </row>
    <row r="63">
      <c r="A63" s="10" t="inlineStr">
        <is>
          <t>CNS14</t>
        </is>
      </c>
      <c r="B63" s="7" t="inlineStr">
        <is>
          <t>Admin/Support/Waste Mgmt</t>
        </is>
      </c>
      <c r="C63" s="11">
        <f>MAX(-Parameters!C51,MIN($C$5*Parameters!C51,Parameters!C75-Parameters!C51))</f>
        <v/>
      </c>
      <c r="D63" s="11">
        <f>MAX(-Parameters!D51,MIN($C$5*Parameters!D51,Parameters!D75-Parameters!D51))</f>
        <v/>
      </c>
      <c r="E63" s="11">
        <f>MAX(-Parameters!E51,MIN($C$5*Parameters!E51,Parameters!E75-Parameters!E51))</f>
        <v/>
      </c>
      <c r="F63" s="11">
        <f>MAX(-Parameters!F51,MIN($C$5*Parameters!F51,Parameters!F75-Parameters!F51))</f>
        <v/>
      </c>
      <c r="G63" s="11">
        <f>MAX(-Parameters!G51,MIN($C$5*Parameters!G51,Parameters!G75-Parameters!G51))</f>
        <v/>
      </c>
    </row>
    <row r="64">
      <c r="A64" s="10" t="inlineStr">
        <is>
          <t>CNS15</t>
        </is>
      </c>
      <c r="B64" s="7" t="inlineStr">
        <is>
          <t>Educational Services</t>
        </is>
      </c>
      <c r="C64" s="11">
        <f>MAX(-Parameters!C52,MIN($C$5*Parameters!C52,Parameters!C76-Parameters!C52))</f>
        <v/>
      </c>
      <c r="D64" s="11">
        <f>MAX(-Parameters!D52,MIN($C$5*Parameters!D52,Parameters!D76-Parameters!D52))</f>
        <v/>
      </c>
      <c r="E64" s="11">
        <f>MAX(-Parameters!E52,MIN($C$5*Parameters!E52,Parameters!E76-Parameters!E52))</f>
        <v/>
      </c>
      <c r="F64" s="11">
        <f>MAX(-Parameters!F52,MIN($C$5*Parameters!F52,Parameters!F76-Parameters!F52))</f>
        <v/>
      </c>
      <c r="G64" s="11">
        <f>MAX(-Parameters!G52,MIN($C$5*Parameters!G52,Parameters!G76-Parameters!G52))</f>
        <v/>
      </c>
    </row>
    <row r="65">
      <c r="A65" s="10" t="inlineStr">
        <is>
          <t>CNS16</t>
        </is>
      </c>
      <c r="B65" s="7" t="inlineStr">
        <is>
          <t>Healthcare &amp; Social Assistance</t>
        </is>
      </c>
      <c r="C65" s="11">
        <f>MAX(-Parameters!C53,MIN($C$5*Parameters!C53,Parameters!C77-Parameters!C53))</f>
        <v/>
      </c>
      <c r="D65" s="11">
        <f>MAX(-Parameters!D53,MIN($C$5*Parameters!D53,Parameters!D77-Parameters!D53))</f>
        <v/>
      </c>
      <c r="E65" s="11">
        <f>MAX(-Parameters!E53,MIN($C$5*Parameters!E53,Parameters!E77-Parameters!E53))</f>
        <v/>
      </c>
      <c r="F65" s="11">
        <f>MAX(-Parameters!F53,MIN($C$5*Parameters!F53,Parameters!F77-Parameters!F53))</f>
        <v/>
      </c>
      <c r="G65" s="11">
        <f>MAX(-Parameters!G53,MIN($C$5*Parameters!G53,Parameters!G77-Parameters!G53))</f>
        <v/>
      </c>
    </row>
    <row r="66">
      <c r="A66" s="10" t="inlineStr">
        <is>
          <t>CNS17</t>
        </is>
      </c>
      <c r="B66" s="7" t="inlineStr">
        <is>
          <t>Arts, Entertainment, Recreation</t>
        </is>
      </c>
      <c r="C66" s="11">
        <f>MAX(-Parameters!C54,MIN($C$5*Parameters!C54,Parameters!C78-Parameters!C54))</f>
        <v/>
      </c>
      <c r="D66" s="11">
        <f>MAX(-Parameters!D54,MIN($C$5*Parameters!D54,Parameters!D78-Parameters!D54))</f>
        <v/>
      </c>
      <c r="E66" s="11">
        <f>MAX(-Parameters!E54,MIN($C$5*Parameters!E54,Parameters!E78-Parameters!E54))</f>
        <v/>
      </c>
      <c r="F66" s="11">
        <f>MAX(-Parameters!F54,MIN($C$5*Parameters!F54,Parameters!F78-Parameters!F54))</f>
        <v/>
      </c>
      <c r="G66" s="11">
        <f>MAX(-Parameters!G54,MIN($C$5*Parameters!G54,Parameters!G78-Parameters!G54))</f>
        <v/>
      </c>
    </row>
    <row r="67">
      <c r="A67" s="10" t="inlineStr">
        <is>
          <t>CNS18</t>
        </is>
      </c>
      <c r="B67" s="7" t="inlineStr">
        <is>
          <t>Accommodation &amp; Food Services</t>
        </is>
      </c>
      <c r="C67" s="11">
        <f>MAX(-Parameters!C55,MIN($C$5*Parameters!C55,Parameters!C79-Parameters!C55))</f>
        <v/>
      </c>
      <c r="D67" s="11">
        <f>MAX(-Parameters!D55,MIN($C$5*Parameters!D55,Parameters!D79-Parameters!D55))</f>
        <v/>
      </c>
      <c r="E67" s="11">
        <f>MAX(-Parameters!E55,MIN($C$5*Parameters!E55,Parameters!E79-Parameters!E55))</f>
        <v/>
      </c>
      <c r="F67" s="11">
        <f>MAX(-Parameters!F55,MIN($C$5*Parameters!F55,Parameters!F79-Parameters!F55))</f>
        <v/>
      </c>
      <c r="G67" s="11">
        <f>MAX(-Parameters!G55,MIN($C$5*Parameters!G55,Parameters!G79-Parameters!G55))</f>
        <v/>
      </c>
    </row>
    <row r="68">
      <c r="A68" s="10" t="inlineStr">
        <is>
          <t>CNS19</t>
        </is>
      </c>
      <c r="B68" s="7" t="inlineStr">
        <is>
          <t>Other Services</t>
        </is>
      </c>
      <c r="C68" s="11">
        <f>MAX(-Parameters!C56,MIN($C$5*Parameters!C56,Parameters!C80-Parameters!C56))</f>
        <v/>
      </c>
      <c r="D68" s="11">
        <f>MAX(-Parameters!D56,MIN($C$5*Parameters!D56,Parameters!D80-Parameters!D56))</f>
        <v/>
      </c>
      <c r="E68" s="11">
        <f>MAX(-Parameters!E56,MIN($C$5*Parameters!E56,Parameters!E80-Parameters!E56))</f>
        <v/>
      </c>
      <c r="F68" s="11">
        <f>MAX(-Parameters!F56,MIN($C$5*Parameters!F56,Parameters!F80-Parameters!F56))</f>
        <v/>
      </c>
      <c r="G68" s="11">
        <f>MAX(-Parameters!G56,MIN($C$5*Parameters!G56,Parameters!G80-Parameters!G56))</f>
        <v/>
      </c>
    </row>
    <row r="69">
      <c r="A69" s="10" t="inlineStr">
        <is>
          <t>CNS20</t>
        </is>
      </c>
      <c r="B69" s="7" t="inlineStr">
        <is>
          <t>Public Administration</t>
        </is>
      </c>
      <c r="C69" s="11">
        <f>MAX(-Parameters!C57,MIN($C$5*Parameters!C57,Parameters!C81-Parameters!C57))</f>
        <v/>
      </c>
      <c r="D69" s="11">
        <f>MAX(-Parameters!D57,MIN($C$5*Parameters!D57,Parameters!D81-Parameters!D57))</f>
        <v/>
      </c>
      <c r="E69" s="11">
        <f>MAX(-Parameters!E57,MIN($C$5*Parameters!E57,Parameters!E81-Parameters!E57))</f>
        <v/>
      </c>
      <c r="F69" s="11">
        <f>MAX(-Parameters!F57,MIN($C$5*Parameters!F57,Parameters!F81-Parameters!F57))</f>
        <v/>
      </c>
      <c r="G69" s="11">
        <f>MAX(-Parameters!G57,MIN($C$5*Parameters!G57,Parameters!G81-Parameters!G57))</f>
        <v/>
      </c>
    </row>
    <row r="71">
      <c r="A71" s="3" t="inlineStr">
        <is>
          <t>Step 3: Perturbation Weights  Wₑₒ = 1 − Δwₑₒ / (1 − wₑₒ)</t>
        </is>
      </c>
      <c r="B71" s="4" t="n"/>
      <c r="C71" s="4" t="n"/>
      <c r="D71" s="4" t="n"/>
      <c r="E71" s="4" t="n"/>
      <c r="F71" s="4" t="n"/>
      <c r="G71" s="4" t="n"/>
      <c r="H71" s="4" t="n"/>
    </row>
    <row r="72">
      <c r="A72" s="2" t="inlineStr">
        <is>
          <t>Weight &lt; 1 means fewer trips (more WFH). Weight = 1 means no change. Weight &gt; 1 means more trips (less WFH).</t>
        </is>
      </c>
    </row>
    <row r="73">
      <c r="A73" s="6" t="inlineStr">
        <is>
          <t>LODES</t>
        </is>
      </c>
      <c r="B73" s="5" t="inlineStr">
        <is>
          <t>Industry</t>
        </is>
      </c>
      <c r="C73" s="6" t="inlineStr">
        <is>
          <t>Less than HS</t>
        </is>
      </c>
      <c r="D73" s="6" t="inlineStr">
        <is>
          <t>HS Diploma</t>
        </is>
      </c>
      <c r="E73" s="6" t="inlineStr">
        <is>
          <t>Some College/Assoc.</t>
        </is>
      </c>
      <c r="F73" s="6" t="inlineStr">
        <is>
          <t>Bachelor's</t>
        </is>
      </c>
      <c r="G73" s="6" t="inlineStr">
        <is>
          <t>Advanced</t>
        </is>
      </c>
    </row>
    <row r="74">
      <c r="A74" s="10" t="inlineStr">
        <is>
          <t>CNS01</t>
        </is>
      </c>
      <c r="B74" s="7" t="inlineStr">
        <is>
          <t>Agriculture, Forestry, Fishing</t>
        </is>
      </c>
      <c r="C74" s="22">
        <f>1-C50/(1-Parameters!C38)</f>
        <v/>
      </c>
      <c r="D74" s="22">
        <f>1-D50/(1-Parameters!D38)</f>
        <v/>
      </c>
      <c r="E74" s="22">
        <f>1-E50/(1-Parameters!E38)</f>
        <v/>
      </c>
      <c r="F74" s="22">
        <f>1-F50/(1-Parameters!F38)</f>
        <v/>
      </c>
      <c r="G74" s="22">
        <f>1-G50/(1-Parameters!G38)</f>
        <v/>
      </c>
    </row>
    <row r="75">
      <c r="A75" s="10" t="inlineStr">
        <is>
          <t>CNS02</t>
        </is>
      </c>
      <c r="B75" s="7" t="inlineStr">
        <is>
          <t>Mining, Quarrying, Oil/Gas</t>
        </is>
      </c>
      <c r="C75" s="22">
        <f>1-C51/(1-Parameters!C39)</f>
        <v/>
      </c>
      <c r="D75" s="22">
        <f>1-D51/(1-Parameters!D39)</f>
        <v/>
      </c>
      <c r="E75" s="22">
        <f>1-E51/(1-Parameters!E39)</f>
        <v/>
      </c>
      <c r="F75" s="22">
        <f>1-F51/(1-Parameters!F39)</f>
        <v/>
      </c>
      <c r="G75" s="22">
        <f>1-G51/(1-Parameters!G39)</f>
        <v/>
      </c>
    </row>
    <row r="76">
      <c r="A76" s="10" t="inlineStr">
        <is>
          <t>CNS03</t>
        </is>
      </c>
      <c r="B76" s="7" t="inlineStr">
        <is>
          <t>Utilities</t>
        </is>
      </c>
      <c r="C76" s="22">
        <f>1-C52/(1-Parameters!C40)</f>
        <v/>
      </c>
      <c r="D76" s="22">
        <f>1-D52/(1-Parameters!D40)</f>
        <v/>
      </c>
      <c r="E76" s="22">
        <f>1-E52/(1-Parameters!E40)</f>
        <v/>
      </c>
      <c r="F76" s="22">
        <f>1-F52/(1-Parameters!F40)</f>
        <v/>
      </c>
      <c r="G76" s="22">
        <f>1-G52/(1-Parameters!G40)</f>
        <v/>
      </c>
    </row>
    <row r="77">
      <c r="A77" s="10" t="inlineStr">
        <is>
          <t>CNS04</t>
        </is>
      </c>
      <c r="B77" s="7" t="inlineStr">
        <is>
          <t>Construction</t>
        </is>
      </c>
      <c r="C77" s="22">
        <f>1-C53/(1-Parameters!C41)</f>
        <v/>
      </c>
      <c r="D77" s="22">
        <f>1-D53/(1-Parameters!D41)</f>
        <v/>
      </c>
      <c r="E77" s="22">
        <f>1-E53/(1-Parameters!E41)</f>
        <v/>
      </c>
      <c r="F77" s="22">
        <f>1-F53/(1-Parameters!F41)</f>
        <v/>
      </c>
      <c r="G77" s="22">
        <f>1-G53/(1-Parameters!G41)</f>
        <v/>
      </c>
    </row>
    <row r="78">
      <c r="A78" s="10" t="inlineStr">
        <is>
          <t>CNS05</t>
        </is>
      </c>
      <c r="B78" s="7" t="inlineStr">
        <is>
          <t>Manufacturing</t>
        </is>
      </c>
      <c r="C78" s="22">
        <f>1-C54/(1-Parameters!C42)</f>
        <v/>
      </c>
      <c r="D78" s="22">
        <f>1-D54/(1-Parameters!D42)</f>
        <v/>
      </c>
      <c r="E78" s="22">
        <f>1-E54/(1-Parameters!E42)</f>
        <v/>
      </c>
      <c r="F78" s="22">
        <f>1-F54/(1-Parameters!F42)</f>
        <v/>
      </c>
      <c r="G78" s="22">
        <f>1-G54/(1-Parameters!G42)</f>
        <v/>
      </c>
    </row>
    <row r="79">
      <c r="A79" s="10" t="inlineStr">
        <is>
          <t>CNS06</t>
        </is>
      </c>
      <c r="B79" s="7" t="inlineStr">
        <is>
          <t>Wholesale Trade</t>
        </is>
      </c>
      <c r="C79" s="22">
        <f>1-C55/(1-Parameters!C43)</f>
        <v/>
      </c>
      <c r="D79" s="22">
        <f>1-D55/(1-Parameters!D43)</f>
        <v/>
      </c>
      <c r="E79" s="22">
        <f>1-E55/(1-Parameters!E43)</f>
        <v/>
      </c>
      <c r="F79" s="22">
        <f>1-F55/(1-Parameters!F43)</f>
        <v/>
      </c>
      <c r="G79" s="22">
        <f>1-G55/(1-Parameters!G43)</f>
        <v/>
      </c>
    </row>
    <row r="80">
      <c r="A80" s="10" t="inlineStr">
        <is>
          <t>CNS07</t>
        </is>
      </c>
      <c r="B80" s="7" t="inlineStr">
        <is>
          <t>Retail Trade</t>
        </is>
      </c>
      <c r="C80" s="22">
        <f>1-C56/(1-Parameters!C44)</f>
        <v/>
      </c>
      <c r="D80" s="22">
        <f>1-D56/(1-Parameters!D44)</f>
        <v/>
      </c>
      <c r="E80" s="22">
        <f>1-E56/(1-Parameters!E44)</f>
        <v/>
      </c>
      <c r="F80" s="22">
        <f>1-F56/(1-Parameters!F44)</f>
        <v/>
      </c>
      <c r="G80" s="22">
        <f>1-G56/(1-Parameters!G44)</f>
        <v/>
      </c>
    </row>
    <row r="81">
      <c r="A81" s="10" t="inlineStr">
        <is>
          <t>CNS08</t>
        </is>
      </c>
      <c r="B81" s="7" t="inlineStr">
        <is>
          <t>Transportation &amp; Warehousing</t>
        </is>
      </c>
      <c r="C81" s="22">
        <f>1-C57/(1-Parameters!C45)</f>
        <v/>
      </c>
      <c r="D81" s="22">
        <f>1-D57/(1-Parameters!D45)</f>
        <v/>
      </c>
      <c r="E81" s="22">
        <f>1-E57/(1-Parameters!E45)</f>
        <v/>
      </c>
      <c r="F81" s="22">
        <f>1-F57/(1-Parameters!F45)</f>
        <v/>
      </c>
      <c r="G81" s="22">
        <f>1-G57/(1-Parameters!G45)</f>
        <v/>
      </c>
    </row>
    <row r="82">
      <c r="A82" s="10" t="inlineStr">
        <is>
          <t>CNS09</t>
        </is>
      </c>
      <c r="B82" s="7" t="inlineStr">
        <is>
          <t>Information</t>
        </is>
      </c>
      <c r="C82" s="22">
        <f>1-C58/(1-Parameters!C46)</f>
        <v/>
      </c>
      <c r="D82" s="22">
        <f>1-D58/(1-Parameters!D46)</f>
        <v/>
      </c>
      <c r="E82" s="22">
        <f>1-E58/(1-Parameters!E46)</f>
        <v/>
      </c>
      <c r="F82" s="22">
        <f>1-F58/(1-Parameters!F46)</f>
        <v/>
      </c>
      <c r="G82" s="22">
        <f>1-G58/(1-Parameters!G46)</f>
        <v/>
      </c>
    </row>
    <row r="83">
      <c r="A83" s="10" t="inlineStr">
        <is>
          <t>CNS10</t>
        </is>
      </c>
      <c r="B83" s="7" t="inlineStr">
        <is>
          <t>Finance &amp; Insurance</t>
        </is>
      </c>
      <c r="C83" s="22">
        <f>1-C59/(1-Parameters!C47)</f>
        <v/>
      </c>
      <c r="D83" s="22">
        <f>1-D59/(1-Parameters!D47)</f>
        <v/>
      </c>
      <c r="E83" s="22">
        <f>1-E59/(1-Parameters!E47)</f>
        <v/>
      </c>
      <c r="F83" s="22">
        <f>1-F59/(1-Parameters!F47)</f>
        <v/>
      </c>
      <c r="G83" s="22">
        <f>1-G59/(1-Parameters!G47)</f>
        <v/>
      </c>
    </row>
    <row r="84">
      <c r="A84" s="10" t="inlineStr">
        <is>
          <t>CNS11</t>
        </is>
      </c>
      <c r="B84" s="7" t="inlineStr">
        <is>
          <t>Real Estate &amp; Rental/Leasing</t>
        </is>
      </c>
      <c r="C84" s="22">
        <f>1-C60/(1-Parameters!C48)</f>
        <v/>
      </c>
      <c r="D84" s="22">
        <f>1-D60/(1-Parameters!D48)</f>
        <v/>
      </c>
      <c r="E84" s="22">
        <f>1-E60/(1-Parameters!E48)</f>
        <v/>
      </c>
      <c r="F84" s="22">
        <f>1-F60/(1-Parameters!F48)</f>
        <v/>
      </c>
      <c r="G84" s="22">
        <f>1-G60/(1-Parameters!G48)</f>
        <v/>
      </c>
    </row>
    <row r="85">
      <c r="A85" s="10" t="inlineStr">
        <is>
          <t>CNS12</t>
        </is>
      </c>
      <c r="B85" s="7" t="inlineStr">
        <is>
          <t>Professional, Scientific, Tech</t>
        </is>
      </c>
      <c r="C85" s="22">
        <f>1-C61/(1-Parameters!C49)</f>
        <v/>
      </c>
      <c r="D85" s="22">
        <f>1-D61/(1-Parameters!D49)</f>
        <v/>
      </c>
      <c r="E85" s="22">
        <f>1-E61/(1-Parameters!E49)</f>
        <v/>
      </c>
      <c r="F85" s="22">
        <f>1-F61/(1-Parameters!F49)</f>
        <v/>
      </c>
      <c r="G85" s="22">
        <f>1-G61/(1-Parameters!G49)</f>
        <v/>
      </c>
    </row>
    <row r="86">
      <c r="A86" s="10" t="inlineStr">
        <is>
          <t>CNS13</t>
        </is>
      </c>
      <c r="B86" s="7" t="inlineStr">
        <is>
          <t>Management of Companies</t>
        </is>
      </c>
      <c r="C86" s="22">
        <f>1-C62/(1-Parameters!C50)</f>
        <v/>
      </c>
      <c r="D86" s="22">
        <f>1-D62/(1-Parameters!D50)</f>
        <v/>
      </c>
      <c r="E86" s="22">
        <f>1-E62/(1-Parameters!E50)</f>
        <v/>
      </c>
      <c r="F86" s="22">
        <f>1-F62/(1-Parameters!F50)</f>
        <v/>
      </c>
      <c r="G86" s="22">
        <f>1-G62/(1-Parameters!G50)</f>
        <v/>
      </c>
    </row>
    <row r="87">
      <c r="A87" s="10" t="inlineStr">
        <is>
          <t>CNS14</t>
        </is>
      </c>
      <c r="B87" s="7" t="inlineStr">
        <is>
          <t>Admin/Support/Waste Mgmt</t>
        </is>
      </c>
      <c r="C87" s="22">
        <f>1-C63/(1-Parameters!C51)</f>
        <v/>
      </c>
      <c r="D87" s="22">
        <f>1-D63/(1-Parameters!D51)</f>
        <v/>
      </c>
      <c r="E87" s="22">
        <f>1-E63/(1-Parameters!E51)</f>
        <v/>
      </c>
      <c r="F87" s="22">
        <f>1-F63/(1-Parameters!F51)</f>
        <v/>
      </c>
      <c r="G87" s="22">
        <f>1-G63/(1-Parameters!G51)</f>
        <v/>
      </c>
    </row>
    <row r="88">
      <c r="A88" s="10" t="inlineStr">
        <is>
          <t>CNS15</t>
        </is>
      </c>
      <c r="B88" s="7" t="inlineStr">
        <is>
          <t>Educational Services</t>
        </is>
      </c>
      <c r="C88" s="22">
        <f>1-C64/(1-Parameters!C52)</f>
        <v/>
      </c>
      <c r="D88" s="22">
        <f>1-D64/(1-Parameters!D52)</f>
        <v/>
      </c>
      <c r="E88" s="22">
        <f>1-E64/(1-Parameters!E52)</f>
        <v/>
      </c>
      <c r="F88" s="22">
        <f>1-F64/(1-Parameters!F52)</f>
        <v/>
      </c>
      <c r="G88" s="22">
        <f>1-G64/(1-Parameters!G52)</f>
        <v/>
      </c>
    </row>
    <row r="89">
      <c r="A89" s="10" t="inlineStr">
        <is>
          <t>CNS16</t>
        </is>
      </c>
      <c r="B89" s="7" t="inlineStr">
        <is>
          <t>Healthcare &amp; Social Assistance</t>
        </is>
      </c>
      <c r="C89" s="22">
        <f>1-C65/(1-Parameters!C53)</f>
        <v/>
      </c>
      <c r="D89" s="22">
        <f>1-D65/(1-Parameters!D53)</f>
        <v/>
      </c>
      <c r="E89" s="22">
        <f>1-E65/(1-Parameters!E53)</f>
        <v/>
      </c>
      <c r="F89" s="22">
        <f>1-F65/(1-Parameters!F53)</f>
        <v/>
      </c>
      <c r="G89" s="22">
        <f>1-G65/(1-Parameters!G53)</f>
        <v/>
      </c>
    </row>
    <row r="90">
      <c r="A90" s="10" t="inlineStr">
        <is>
          <t>CNS17</t>
        </is>
      </c>
      <c r="B90" s="7" t="inlineStr">
        <is>
          <t>Arts, Entertainment, Recreation</t>
        </is>
      </c>
      <c r="C90" s="22">
        <f>1-C66/(1-Parameters!C54)</f>
        <v/>
      </c>
      <c r="D90" s="22">
        <f>1-D66/(1-Parameters!D54)</f>
        <v/>
      </c>
      <c r="E90" s="22">
        <f>1-E66/(1-Parameters!E54)</f>
        <v/>
      </c>
      <c r="F90" s="22">
        <f>1-F66/(1-Parameters!F54)</f>
        <v/>
      </c>
      <c r="G90" s="22">
        <f>1-G66/(1-Parameters!G54)</f>
        <v/>
      </c>
    </row>
    <row r="91">
      <c r="A91" s="10" t="inlineStr">
        <is>
          <t>CNS18</t>
        </is>
      </c>
      <c r="B91" s="7" t="inlineStr">
        <is>
          <t>Accommodation &amp; Food Services</t>
        </is>
      </c>
      <c r="C91" s="22">
        <f>1-C67/(1-Parameters!C55)</f>
        <v/>
      </c>
      <c r="D91" s="22">
        <f>1-D67/(1-Parameters!D55)</f>
        <v/>
      </c>
      <c r="E91" s="22">
        <f>1-E67/(1-Parameters!E55)</f>
        <v/>
      </c>
      <c r="F91" s="22">
        <f>1-F67/(1-Parameters!F55)</f>
        <v/>
      </c>
      <c r="G91" s="22">
        <f>1-G67/(1-Parameters!G55)</f>
        <v/>
      </c>
    </row>
    <row r="92">
      <c r="A92" s="10" t="inlineStr">
        <is>
          <t>CNS19</t>
        </is>
      </c>
      <c r="B92" s="7" t="inlineStr">
        <is>
          <t>Other Services</t>
        </is>
      </c>
      <c r="C92" s="22">
        <f>1-C68/(1-Parameters!C56)</f>
        <v/>
      </c>
      <c r="D92" s="22">
        <f>1-D68/(1-Parameters!D56)</f>
        <v/>
      </c>
      <c r="E92" s="22">
        <f>1-E68/(1-Parameters!E56)</f>
        <v/>
      </c>
      <c r="F92" s="22">
        <f>1-F68/(1-Parameters!F56)</f>
        <v/>
      </c>
      <c r="G92" s="22">
        <f>1-G68/(1-Parameters!G56)</f>
        <v/>
      </c>
    </row>
    <row r="93">
      <c r="A93" s="10" t="inlineStr">
        <is>
          <t>CNS20</t>
        </is>
      </c>
      <c r="B93" s="7" t="inlineStr">
        <is>
          <t>Public Administration</t>
        </is>
      </c>
      <c r="C93" s="22">
        <f>1-C69/(1-Parameters!C57)</f>
        <v/>
      </c>
      <c r="D93" s="22">
        <f>1-D69/(1-Parameters!D57)</f>
        <v/>
      </c>
      <c r="E93" s="22">
        <f>1-E69/(1-Parameters!E57)</f>
        <v/>
      </c>
      <c r="F93" s="22">
        <f>1-F69/(1-Parameters!F57)</f>
        <v/>
      </c>
      <c r="G93" s="22">
        <f>1-G69/(1-Parameters!G57)</f>
        <v/>
      </c>
    </row>
    <row r="95">
      <c r="A95" s="3" t="inlineStr">
        <is>
          <t>Step 4: Aggregate Perturbation Factors (Ω)</t>
        </is>
      </c>
      <c r="B95" s="4" t="n"/>
      <c r="C95" s="4" t="n"/>
      <c r="D95" s="4" t="n"/>
      <c r="E95" s="4" t="n"/>
      <c r="F95" s="4" t="n"/>
      <c r="G95" s="4" t="n"/>
      <c r="H95" s="4" t="n"/>
    </row>
    <row r="96">
      <c r="A96" s="2" t="inlineStr">
        <is>
          <t>First compute industry-weighted perturbation θₑ for each education level at a given workplace, then weight by residence education shares.</t>
        </is>
      </c>
    </row>
    <row r="98">
      <c r="A98" s="17" t="inlineStr">
        <is>
          <t>Ω_ij: Workers with residence r = zone i, workplace s = zone j</t>
        </is>
      </c>
      <c r="B98" s="18" t="n"/>
      <c r="C98" s="18" t="n"/>
      <c r="D98" s="18" t="n"/>
      <c r="E98" s="18" t="n"/>
      <c r="F98" s="18" t="n"/>
      <c r="G98" s="18" t="n"/>
      <c r="H98" s="18" t="n"/>
    </row>
    <row r="99">
      <c r="A99" s="2" t="inlineStr">
        <is>
          <t>θₑ(s=j) = Σₒ Wₑₒ · O_jo   (industry-weighted perturbation at workplace zone j, for each education level e)</t>
        </is>
      </c>
    </row>
    <row r="100">
      <c r="A100" s="5" t="inlineStr"/>
      <c r="B100" s="5" t="inlineStr"/>
      <c r="C100" s="6" t="inlineStr">
        <is>
          <t>Less than HS</t>
        </is>
      </c>
      <c r="D100" s="6" t="inlineStr">
        <is>
          <t>HS Diploma</t>
        </is>
      </c>
      <c r="E100" s="6" t="inlineStr">
        <is>
          <t>Some College/Assoc.</t>
        </is>
      </c>
      <c r="F100" s="6" t="inlineStr">
        <is>
          <t>Bachelor's</t>
        </is>
      </c>
      <c r="G100" s="6" t="inlineStr">
        <is>
          <t>Advanced</t>
        </is>
      </c>
    </row>
    <row r="101">
      <c r="A101" s="12" t="inlineStr"/>
      <c r="B101" s="23" t="inlineStr">
        <is>
          <t>θₑ(s=j)</t>
        </is>
      </c>
      <c r="C101" s="22">
        <f>SUMPRODUCT(C74:C93,D20:D39)</f>
        <v/>
      </c>
      <c r="D101" s="22">
        <f>SUMPRODUCT(D74:D93,D20:D39)</f>
        <v/>
      </c>
      <c r="E101" s="22">
        <f>SUMPRODUCT(E74:E93,D20:D39)</f>
        <v/>
      </c>
      <c r="F101" s="22">
        <f>SUMPRODUCT(F74:F93,D20:D39)</f>
        <v/>
      </c>
      <c r="G101" s="22">
        <f>SUMPRODUCT(G74:G93,D20:D39)</f>
        <v/>
      </c>
    </row>
    <row r="103">
      <c r="B103" s="23" t="inlineStr">
        <is>
          <t>Ω_ij = Σₑ E_ie · θₑ(s=j)</t>
        </is>
      </c>
      <c r="C103" s="24">
        <f>SUMPRODUCT(C15:G15,C101:G101)</f>
        <v/>
      </c>
    </row>
    <row r="105">
      <c r="A105" s="17" t="inlineStr">
        <is>
          <t>Ω_ji: Workers with residence r = zone j, workplace s = zone i</t>
        </is>
      </c>
      <c r="B105" s="18" t="n"/>
      <c r="C105" s="18" t="n"/>
      <c r="D105" s="18" t="n"/>
      <c r="E105" s="18" t="n"/>
      <c r="F105" s="18" t="n"/>
      <c r="G105" s="18" t="n"/>
      <c r="H105" s="18" t="n"/>
    </row>
    <row r="106">
      <c r="A106" s="2" t="inlineStr">
        <is>
          <t>θₑ(s=i) = Σₒ Wₑₒ · O_io   (industry-weighted perturbation at workplace zone i, for each education level e)</t>
        </is>
      </c>
    </row>
    <row r="107">
      <c r="A107" s="5" t="inlineStr"/>
      <c r="B107" s="5" t="inlineStr"/>
      <c r="C107" s="6" t="inlineStr">
        <is>
          <t>Less than HS</t>
        </is>
      </c>
      <c r="D107" s="6" t="inlineStr">
        <is>
          <t>HS Diploma</t>
        </is>
      </c>
      <c r="E107" s="6" t="inlineStr">
        <is>
          <t>Some College/Assoc.</t>
        </is>
      </c>
      <c r="F107" s="6" t="inlineStr">
        <is>
          <t>Bachelor's</t>
        </is>
      </c>
      <c r="G107" s="6" t="inlineStr">
        <is>
          <t>Advanced</t>
        </is>
      </c>
    </row>
    <row r="108">
      <c r="A108" s="12" t="inlineStr"/>
      <c r="B108" s="23" t="inlineStr">
        <is>
          <t>θₑ(s=i)</t>
        </is>
      </c>
      <c r="C108" s="22">
        <f>SUMPRODUCT(C74:C93,C20:C39)</f>
        <v/>
      </c>
      <c r="D108" s="22">
        <f>SUMPRODUCT(D74:D93,C20:C39)</f>
        <v/>
      </c>
      <c r="E108" s="22">
        <f>SUMPRODUCT(E74:E93,C20:C39)</f>
        <v/>
      </c>
      <c r="F108" s="22">
        <f>SUMPRODUCT(F74:F93,C20:C39)</f>
        <v/>
      </c>
      <c r="G108" s="22">
        <f>SUMPRODUCT(G74:G93,C20:C39)</f>
        <v/>
      </c>
    </row>
    <row r="110">
      <c r="B110" s="23" t="inlineStr">
        <is>
          <t>Ω_ji = Σₑ E_je · θₑ(s=i)</t>
        </is>
      </c>
      <c r="C110" s="24">
        <f>SUMPRODUCT(C16:G16,C108:G108)</f>
        <v/>
      </c>
    </row>
    <row r="112">
      <c r="A112" s="3" t="inlineStr">
        <is>
          <t>Step 5: Symmetric Perturbation Factor and Perturbed Flow</t>
        </is>
      </c>
      <c r="B112" s="4" t="n"/>
      <c r="C112" s="4" t="n"/>
      <c r="D112" s="4" t="n"/>
      <c r="E112" s="4" t="n"/>
      <c r="F112" s="4" t="n"/>
      <c r="G112" s="4" t="n"/>
      <c r="H112" s="4" t="n"/>
    </row>
    <row r="113">
      <c r="A113" s="2" t="inlineStr">
        <is>
          <t>P_ij weights the two Ω factors by LODES commute counts, ensuring P_ij = P_ji (symmetry).</t>
        </is>
      </c>
    </row>
    <row r="115">
      <c r="B115" s="13" t="inlineStr">
        <is>
          <t>P_ij = (L_ij · Ω_ij + L_ji · Ω_ji) / (L_ij + L_ji)</t>
        </is>
      </c>
    </row>
    <row r="116">
      <c r="B116" s="23" t="inlineStr">
        <is>
          <t>P_ij (symmetric perturbation factor)</t>
        </is>
      </c>
      <c r="C116" s="24">
        <f>IF(C43+C44=0,(C103+C110)/2,(C43*C103+C44*C110)/(C43+C44))</f>
        <v/>
      </c>
    </row>
    <row r="118">
      <c r="A118" s="17" t="inlineStr">
        <is>
          <t>Final Result: Perturbed Flow</t>
        </is>
      </c>
      <c r="B118" s="18" t="n"/>
      <c r="C118" s="18" t="n"/>
      <c r="D118" s="18" t="n"/>
      <c r="E118" s="18" t="n"/>
      <c r="F118" s="18" t="n"/>
      <c r="G118" s="18" t="n"/>
      <c r="H118" s="18" t="n"/>
    </row>
    <row r="119">
      <c r="B119" s="13" t="inlineStr">
        <is>
          <t>G_ij = T_ij × P_ij</t>
        </is>
      </c>
    </row>
    <row r="120">
      <c r="B120" s="7" t="inlineStr">
        <is>
          <t>Baseline flow (T_ij)</t>
        </is>
      </c>
      <c r="C120" s="25">
        <f>C45</f>
        <v/>
      </c>
    </row>
    <row r="121">
      <c r="B121" s="7" t="inlineStr">
        <is>
          <t>Perturbation factor (P_ij)</t>
        </is>
      </c>
      <c r="C121" s="22">
        <f>C116</f>
        <v/>
      </c>
    </row>
    <row r="122">
      <c r="B122" s="26" t="inlineStr">
        <is>
          <t>Perturbed flow (G_ij)</t>
        </is>
      </c>
      <c r="C122" s="27">
        <f>C45*C116</f>
        <v/>
      </c>
    </row>
    <row r="123">
      <c r="B123" s="7" t="inlineStr">
        <is>
          <t>Absolute change (G − T)</t>
        </is>
      </c>
      <c r="C123" s="25">
        <f>C122-C45</f>
        <v/>
      </c>
    </row>
    <row r="124">
      <c r="B124" s="7" t="inlineStr">
        <is>
          <t>Percent change</t>
        </is>
      </c>
      <c r="C124" s="11">
        <f>(C122-C45)/C45</f>
        <v/>
      </c>
    </row>
    <row r="126">
      <c r="A126" s="17" t="inlineStr">
        <is>
          <t>Interpretation</t>
        </is>
      </c>
      <c r="B126" s="18" t="n"/>
      <c r="C126" s="18" t="n"/>
      <c r="D126" s="18" t="n"/>
      <c r="E126" s="18" t="n"/>
      <c r="F126" s="18" t="n"/>
      <c r="G126" s="18" t="n"/>
      <c r="H126" s="18" t="n"/>
    </row>
    <row r="127" ht="40" customHeight="1">
      <c r="A127" s="2" t="inlineStr">
        <is>
          <t>With α = 0.25, WFH rates increase by 25% proportionally across all education-industry segments. The perturbation factor P_ij reflects the demographic composition of commuters between these two zones — zone pairs with more WFH-susceptible workers (higher education, office-based industries) show larger trip reductions.</t>
        </is>
      </c>
    </row>
  </sheetData>
  <mergeCells count="23">
    <mergeCell ref="A48:H48"/>
    <mergeCell ref="B6:H6"/>
    <mergeCell ref="A98:H98"/>
    <mergeCell ref="A1:H1"/>
    <mergeCell ref="A99:H99"/>
    <mergeCell ref="A118:H118"/>
    <mergeCell ref="A18:H18"/>
    <mergeCell ref="A105:H105"/>
    <mergeCell ref="A95:H95"/>
    <mergeCell ref="A113:H113"/>
    <mergeCell ref="A2:H2"/>
    <mergeCell ref="A71:H71"/>
    <mergeCell ref="A42:H42"/>
    <mergeCell ref="A47:H47"/>
    <mergeCell ref="A126:H126"/>
    <mergeCell ref="A8:H8"/>
    <mergeCell ref="A4:H4"/>
    <mergeCell ref="A106:H106"/>
    <mergeCell ref="A96:H96"/>
    <mergeCell ref="A72:H72"/>
    <mergeCell ref="A112:H112"/>
    <mergeCell ref="A13:H13"/>
    <mergeCell ref="A127:H1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Example 3: Two Census Tracts in Austin, Texas</t>
        </is>
      </c>
    </row>
    <row r="2">
      <c r="A2" s="2" t="inlineStr">
        <is>
          <t>Tract 11.01, Downtown Austin (tech/govt/professional) vs. Tract 24.22, Suburban Austin (education/accommodation)</t>
        </is>
      </c>
    </row>
    <row r="4">
      <c r="A4" s="3" t="inlineStr">
        <is>
          <t>Scenario Parameter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12" t="inlineStr"/>
      <c r="B5" s="13" t="inlineStr">
        <is>
          <t>α (proportional WFH scaling factor)</t>
        </is>
      </c>
      <c r="C5" s="14" t="n">
        <v>0.25</v>
      </c>
    </row>
    <row r="6">
      <c r="B6" s="2" t="inlineStr">
        <is>
          <t>Δwₑₒ = α · wₑₒ  →  A positive α means WFH increases proportionally across all segments.</t>
        </is>
      </c>
    </row>
    <row r="8">
      <c r="A8" s="3" t="inlineStr">
        <is>
          <t>Step 1: Demographic Inputs for the Two Tracts</t>
        </is>
      </c>
      <c r="B8" s="4" t="n"/>
      <c r="C8" s="4" t="n"/>
      <c r="D8" s="4" t="n"/>
      <c r="E8" s="4" t="n"/>
      <c r="F8" s="4" t="n"/>
      <c r="G8" s="4" t="n"/>
      <c r="H8" s="4" t="n"/>
    </row>
    <row r="9">
      <c r="B9" s="5" t="inlineStr"/>
      <c r="C9" s="6" t="inlineStr">
        <is>
          <t>Zone i</t>
        </is>
      </c>
      <c r="D9" s="6" t="inlineStr">
        <is>
          <t>Zone j</t>
        </is>
      </c>
    </row>
    <row r="10">
      <c r="B10" s="7" t="inlineStr">
        <is>
          <t>Tract Name</t>
        </is>
      </c>
      <c r="C10" s="15" t="inlineStr">
        <is>
          <t>Tract 11.01, Downtown Austin</t>
        </is>
      </c>
      <c r="D10" s="15" t="inlineStr">
        <is>
          <t>Tract 24.22, Suburban Austin</t>
        </is>
      </c>
    </row>
    <row r="11">
      <c r="B11" s="7" t="inlineStr">
        <is>
          <t>FIPS Code</t>
        </is>
      </c>
      <c r="C11" s="16" t="inlineStr">
        <is>
          <t>48453001101</t>
        </is>
      </c>
      <c r="D11" s="16" t="inlineStr">
        <is>
          <t>48453002422</t>
        </is>
      </c>
    </row>
    <row r="13">
      <c r="A13" s="17" t="inlineStr">
        <is>
          <t>Education Shares at Residence (Eᵣₑ) — from ACS Table B15003</t>
        </is>
      </c>
      <c r="B13" s="18" t="n"/>
      <c r="C13" s="18" t="n"/>
      <c r="D13" s="18" t="n"/>
      <c r="E13" s="18" t="n"/>
      <c r="F13" s="18" t="n"/>
      <c r="G13" s="18" t="n"/>
      <c r="H13" s="18" t="n"/>
    </row>
    <row r="14">
      <c r="A14" s="5" t="inlineStr"/>
      <c r="B14" s="5" t="inlineStr"/>
      <c r="C14" s="6" t="inlineStr">
        <is>
          <t>Less than HS</t>
        </is>
      </c>
      <c r="D14" s="6" t="inlineStr">
        <is>
          <t>HS Diploma</t>
        </is>
      </c>
      <c r="E14" s="6" t="inlineStr">
        <is>
          <t>Some College/Assoc.</t>
        </is>
      </c>
      <c r="F14" s="6" t="inlineStr">
        <is>
          <t>Bachelor's</t>
        </is>
      </c>
      <c r="G14" s="6" t="inlineStr">
        <is>
          <t>Advanced</t>
        </is>
      </c>
      <c r="H14" s="6" t="inlineStr">
        <is>
          <t>Total</t>
        </is>
      </c>
    </row>
    <row r="15">
      <c r="A15" s="12" t="inlineStr"/>
      <c r="B15" s="7" t="inlineStr">
        <is>
          <t>Zone i: Tract 11.01, Downtown Aus</t>
        </is>
      </c>
      <c r="C15" s="8" t="n">
        <v>0.06275600000000001</v>
      </c>
      <c r="D15" s="8" t="n">
        <v>0.186221</v>
      </c>
      <c r="E15" s="8" t="n">
        <v>0.07708</v>
      </c>
      <c r="F15" s="8" t="n">
        <v>0.401774</v>
      </c>
      <c r="G15" s="8" t="n">
        <v>0.272169</v>
      </c>
      <c r="H15" s="19">
        <f>SUM(C15:G15)</f>
        <v/>
      </c>
    </row>
    <row r="16">
      <c r="A16" s="12" t="inlineStr"/>
      <c r="B16" s="7" t="inlineStr">
        <is>
          <t>Zone j: Tract 24.22, Suburban Aus</t>
        </is>
      </c>
      <c r="C16" s="8" t="n">
        <v>0.150966</v>
      </c>
      <c r="D16" s="8" t="n">
        <v>0.136357</v>
      </c>
      <c r="E16" s="8" t="n">
        <v>0.234211</v>
      </c>
      <c r="F16" s="8" t="n">
        <v>0.370263</v>
      </c>
      <c r="G16" s="8" t="n">
        <v>0.108203</v>
      </c>
      <c r="H16" s="19">
        <f>SUM(C16:G16)</f>
        <v/>
      </c>
    </row>
    <row r="18">
      <c r="A18" s="17" t="inlineStr">
        <is>
          <t>Industry Shares at Workplace (Oₛₒ) — from LODES WAC files</t>
        </is>
      </c>
      <c r="B18" s="18" t="n"/>
      <c r="C18" s="18" t="n"/>
      <c r="D18" s="18" t="n"/>
      <c r="E18" s="18" t="n"/>
      <c r="F18" s="18" t="n"/>
      <c r="G18" s="18" t="n"/>
      <c r="H18" s="18" t="n"/>
    </row>
    <row r="19">
      <c r="A19" s="6" t="inlineStr">
        <is>
          <t>LODES</t>
        </is>
      </c>
      <c r="B19" s="5" t="inlineStr">
        <is>
          <t>Industry Sector</t>
        </is>
      </c>
      <c r="C19" s="6" t="inlineStr">
        <is>
          <t>Zone i (workplace)</t>
        </is>
      </c>
      <c r="D19" s="6" t="inlineStr">
        <is>
          <t>Zone j (workplace)</t>
        </is>
      </c>
    </row>
    <row r="20">
      <c r="A20" s="10" t="inlineStr">
        <is>
          <t>CNS01</t>
        </is>
      </c>
      <c r="B20" s="7" t="inlineStr">
        <is>
          <t>Agriculture, Forestry, Fishing</t>
        </is>
      </c>
      <c r="C20" s="8" t="n">
        <v>0.000204</v>
      </c>
      <c r="D20" s="8" t="n">
        <v>0</v>
      </c>
    </row>
    <row r="21">
      <c r="A21" s="10" t="inlineStr">
        <is>
          <t>CNS02</t>
        </is>
      </c>
      <c r="B21" s="7" t="inlineStr">
        <is>
          <t>Mining, Quarrying, Oil/Gas</t>
        </is>
      </c>
      <c r="C21" s="8" t="n">
        <v>0.000957</v>
      </c>
      <c r="D21" s="8" t="n">
        <v>0</v>
      </c>
    </row>
    <row r="22">
      <c r="A22" s="10" t="inlineStr">
        <is>
          <t>CNS03</t>
        </is>
      </c>
      <c r="B22" s="7" t="inlineStr">
        <is>
          <t>Utilities</t>
        </is>
      </c>
      <c r="C22" s="8" t="n">
        <v>0.021862</v>
      </c>
      <c r="D22" s="8" t="n">
        <v>0</v>
      </c>
    </row>
    <row r="23">
      <c r="A23" s="10" t="inlineStr">
        <is>
          <t>CNS04</t>
        </is>
      </c>
      <c r="B23" s="7" t="inlineStr">
        <is>
          <t>Construction</t>
        </is>
      </c>
      <c r="C23" s="8" t="n">
        <v>0.012274</v>
      </c>
      <c r="D23" s="8" t="n">
        <v>0.093318</v>
      </c>
    </row>
    <row r="24">
      <c r="A24" s="10" t="inlineStr">
        <is>
          <t>CNS05</t>
        </is>
      </c>
      <c r="B24" s="7" t="inlineStr">
        <is>
          <t>Manufacturing</t>
        </is>
      </c>
      <c r="C24" s="8" t="n">
        <v>0.022371</v>
      </c>
      <c r="D24" s="8" t="n">
        <v>0.10023</v>
      </c>
    </row>
    <row r="25">
      <c r="A25" s="10" t="inlineStr">
        <is>
          <t>CNS06</t>
        </is>
      </c>
      <c r="B25" s="7" t="inlineStr">
        <is>
          <t>Wholesale Trade</t>
        </is>
      </c>
      <c r="C25" s="8" t="n">
        <v>0.021638</v>
      </c>
      <c r="D25" s="8" t="n">
        <v>0.033986</v>
      </c>
    </row>
    <row r="26">
      <c r="A26" s="10" t="inlineStr">
        <is>
          <t>CNS07</t>
        </is>
      </c>
      <c r="B26" s="7" t="inlineStr">
        <is>
          <t>Retail Trade</t>
        </is>
      </c>
      <c r="C26" s="8" t="n">
        <v>0.042258</v>
      </c>
      <c r="D26" s="8" t="n">
        <v>0.084677</v>
      </c>
    </row>
    <row r="27">
      <c r="A27" s="10" t="inlineStr">
        <is>
          <t>CNS08</t>
        </is>
      </c>
      <c r="B27" s="7" t="inlineStr">
        <is>
          <t>Transportation &amp; Warehousing</t>
        </is>
      </c>
      <c r="C27" s="8" t="n">
        <v>0.00631</v>
      </c>
      <c r="D27" s="8" t="n">
        <v>0.044355</v>
      </c>
    </row>
    <row r="28">
      <c r="A28" s="10" t="inlineStr">
        <is>
          <t>CNS09</t>
        </is>
      </c>
      <c r="B28" s="7" t="inlineStr">
        <is>
          <t>Information</t>
        </is>
      </c>
      <c r="C28" s="8" t="n">
        <v>0.06493400000000001</v>
      </c>
      <c r="D28" s="8" t="n">
        <v>0.004608</v>
      </c>
    </row>
    <row r="29">
      <c r="A29" s="10" t="inlineStr">
        <is>
          <t>CNS10</t>
        </is>
      </c>
      <c r="B29" s="7" t="inlineStr">
        <is>
          <t>Finance &amp; Insurance</t>
        </is>
      </c>
      <c r="C29" s="8" t="n">
        <v>0.060435</v>
      </c>
      <c r="D29" s="8" t="n">
        <v>0.00576</v>
      </c>
    </row>
    <row r="30">
      <c r="A30" s="10" t="inlineStr">
        <is>
          <t>CNS11</t>
        </is>
      </c>
      <c r="B30" s="7" t="inlineStr">
        <is>
          <t>Real Estate &amp; Rental/Leasing</t>
        </is>
      </c>
      <c r="C30" s="8" t="n">
        <v>0.016142</v>
      </c>
      <c r="D30" s="8" t="n">
        <v>0.039747</v>
      </c>
    </row>
    <row r="31">
      <c r="A31" s="10" t="inlineStr">
        <is>
          <t>CNS12</t>
        </is>
      </c>
      <c r="B31" s="7" t="inlineStr">
        <is>
          <t>Professional, Scientific, Tech</t>
        </is>
      </c>
      <c r="C31" s="8" t="n">
        <v>0.212836</v>
      </c>
      <c r="D31" s="8" t="n">
        <v>0.067972</v>
      </c>
    </row>
    <row r="32">
      <c r="A32" s="10" t="inlineStr">
        <is>
          <t>CNS13</t>
        </is>
      </c>
      <c r="B32" s="7" t="inlineStr">
        <is>
          <t>Management of Companies</t>
        </is>
      </c>
      <c r="C32" s="8" t="n">
        <v>0.00515</v>
      </c>
      <c r="D32" s="8" t="n">
        <v>0</v>
      </c>
    </row>
    <row r="33">
      <c r="A33" s="10" t="inlineStr">
        <is>
          <t>CNS14</t>
        </is>
      </c>
      <c r="B33" s="7" t="inlineStr">
        <is>
          <t>Admin/Support/Waste Mgmt</t>
        </is>
      </c>
      <c r="C33" s="8" t="n">
        <v>0.056832</v>
      </c>
      <c r="D33" s="8" t="n">
        <v>0.037442</v>
      </c>
    </row>
    <row r="34">
      <c r="A34" s="10" t="inlineStr">
        <is>
          <t>CNS15</t>
        </is>
      </c>
      <c r="B34" s="7" t="inlineStr">
        <is>
          <t>Educational Services</t>
        </is>
      </c>
      <c r="C34" s="8" t="n">
        <v>0.027317</v>
      </c>
      <c r="D34" s="8" t="n">
        <v>0.225806</v>
      </c>
    </row>
    <row r="35">
      <c r="A35" s="10" t="inlineStr">
        <is>
          <t>CNS16</t>
        </is>
      </c>
      <c r="B35" s="7" t="inlineStr">
        <is>
          <t>Healthcare &amp; Social Assistance</t>
        </is>
      </c>
      <c r="C35" s="8" t="n">
        <v>0.024854</v>
      </c>
      <c r="D35" s="8" t="n">
        <v>0.035138</v>
      </c>
    </row>
    <row r="36">
      <c r="A36" s="10" t="inlineStr">
        <is>
          <t>CNS17</t>
        </is>
      </c>
      <c r="B36" s="7" t="inlineStr">
        <is>
          <t>Arts, Entertainment, Recreation</t>
        </is>
      </c>
      <c r="C36" s="8" t="n">
        <v>0.010341</v>
      </c>
      <c r="D36" s="8" t="n">
        <v>0.010945</v>
      </c>
    </row>
    <row r="37">
      <c r="A37" s="10" t="inlineStr">
        <is>
          <t>CNS18</t>
        </is>
      </c>
      <c r="B37" s="7" t="inlineStr">
        <is>
          <t>Accommodation &amp; Food Services</t>
        </is>
      </c>
      <c r="C37" s="8" t="n">
        <v>0.064303</v>
      </c>
      <c r="D37" s="8" t="n">
        <v>0.142857</v>
      </c>
    </row>
    <row r="38">
      <c r="A38" s="10" t="inlineStr">
        <is>
          <t>CNS19</t>
        </is>
      </c>
      <c r="B38" s="7" t="inlineStr">
        <is>
          <t>Other Services</t>
        </is>
      </c>
      <c r="C38" s="8" t="n">
        <v>0.035561</v>
      </c>
      <c r="D38" s="8" t="n">
        <v>0.073157</v>
      </c>
    </row>
    <row r="39">
      <c r="A39" s="10" t="inlineStr">
        <is>
          <t>CNS20</t>
        </is>
      </c>
      <c r="B39" s="7" t="inlineStr">
        <is>
          <t>Public Administration</t>
        </is>
      </c>
      <c r="C39" s="8" t="n">
        <v>0.293423</v>
      </c>
      <c r="D39" s="8" t="n">
        <v>0</v>
      </c>
    </row>
    <row r="40">
      <c r="A40" s="12" t="inlineStr"/>
      <c r="B40" s="20" t="inlineStr">
        <is>
          <t>Total</t>
        </is>
      </c>
      <c r="C40" s="19">
        <f>SUM(C20:C39)</f>
        <v/>
      </c>
      <c r="D40" s="19">
        <f>SUM(D20:D39)</f>
        <v/>
      </c>
    </row>
    <row r="42">
      <c r="A42" s="17" t="inlineStr">
        <is>
          <t>LODES Commute Counts and Deep Gravity Baseline Flow</t>
        </is>
      </c>
      <c r="B42" s="18" t="n"/>
      <c r="C42" s="18" t="n"/>
      <c r="D42" s="18" t="n"/>
      <c r="E42" s="18" t="n"/>
      <c r="F42" s="18" t="n"/>
      <c r="G42" s="18" t="n"/>
      <c r="H42" s="18" t="n"/>
    </row>
    <row r="43">
      <c r="B43" s="7" t="inlineStr">
        <is>
          <t>L_ij (workers with residence r=i, workplace s=j)</t>
        </is>
      </c>
      <c r="C43" s="21" t="n">
        <v>0</v>
      </c>
    </row>
    <row r="44">
      <c r="B44" s="7" t="inlineStr">
        <is>
          <t>L_ji (workers with residence r=j, workplace s=i)</t>
        </is>
      </c>
      <c r="C44" s="21" t="n">
        <v>154</v>
      </c>
    </row>
    <row r="45">
      <c r="B45" s="7" t="inlineStr">
        <is>
          <t>T_ij (Deep Gravity baseline flow, dummy)</t>
        </is>
      </c>
      <c r="C45" s="21" t="n">
        <v>1600</v>
      </c>
    </row>
    <row r="47">
      <c r="A47" s="3" t="inlineStr">
        <is>
          <t>Step 2: Bounded Perturbation Deltas  Δwₑₒ = max(−wₑₒ, min(α·wₑₒ, uₑₒ−wₑₒ))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2" t="inlineStr">
        <is>
          <t>Change in WFH rate for each segment, bounded by structural feasibility. Positive = more WFH; negative = less WFH.</t>
        </is>
      </c>
    </row>
    <row r="49">
      <c r="A49" s="6" t="inlineStr">
        <is>
          <t>LODES</t>
        </is>
      </c>
      <c r="B49" s="5" t="inlineStr">
        <is>
          <t>Industry</t>
        </is>
      </c>
      <c r="C49" s="6" t="inlineStr">
        <is>
          <t>Less than HS</t>
        </is>
      </c>
      <c r="D49" s="6" t="inlineStr">
        <is>
          <t>HS Diploma</t>
        </is>
      </c>
      <c r="E49" s="6" t="inlineStr">
        <is>
          <t>Some College/Assoc.</t>
        </is>
      </c>
      <c r="F49" s="6" t="inlineStr">
        <is>
          <t>Bachelor's</t>
        </is>
      </c>
      <c r="G49" s="6" t="inlineStr">
        <is>
          <t>Advanced</t>
        </is>
      </c>
    </row>
    <row r="50">
      <c r="A50" s="10" t="inlineStr">
        <is>
          <t>CNS01</t>
        </is>
      </c>
      <c r="B50" s="7" t="inlineStr">
        <is>
          <t>Agriculture, Forestry, Fishing</t>
        </is>
      </c>
      <c r="C50" s="11">
        <f>MAX(-Parameters!C38,MIN($C$5*Parameters!C38,Parameters!C62-Parameters!C38))</f>
        <v/>
      </c>
      <c r="D50" s="11">
        <f>MAX(-Parameters!D38,MIN($C$5*Parameters!D38,Parameters!D62-Parameters!D38))</f>
        <v/>
      </c>
      <c r="E50" s="11">
        <f>MAX(-Parameters!E38,MIN($C$5*Parameters!E38,Parameters!E62-Parameters!E38))</f>
        <v/>
      </c>
      <c r="F50" s="11">
        <f>MAX(-Parameters!F38,MIN($C$5*Parameters!F38,Parameters!F62-Parameters!F38))</f>
        <v/>
      </c>
      <c r="G50" s="11">
        <f>MAX(-Parameters!G38,MIN($C$5*Parameters!G38,Parameters!G62-Parameters!G38))</f>
        <v/>
      </c>
    </row>
    <row r="51">
      <c r="A51" s="10" t="inlineStr">
        <is>
          <t>CNS02</t>
        </is>
      </c>
      <c r="B51" s="7" t="inlineStr">
        <is>
          <t>Mining, Quarrying, Oil/Gas</t>
        </is>
      </c>
      <c r="C51" s="11">
        <f>MAX(-Parameters!C39,MIN($C$5*Parameters!C39,Parameters!C63-Parameters!C39))</f>
        <v/>
      </c>
      <c r="D51" s="11">
        <f>MAX(-Parameters!D39,MIN($C$5*Parameters!D39,Parameters!D63-Parameters!D39))</f>
        <v/>
      </c>
      <c r="E51" s="11">
        <f>MAX(-Parameters!E39,MIN($C$5*Parameters!E39,Parameters!E63-Parameters!E39))</f>
        <v/>
      </c>
      <c r="F51" s="11">
        <f>MAX(-Parameters!F39,MIN($C$5*Parameters!F39,Parameters!F63-Parameters!F39))</f>
        <v/>
      </c>
      <c r="G51" s="11">
        <f>MAX(-Parameters!G39,MIN($C$5*Parameters!G39,Parameters!G63-Parameters!G39))</f>
        <v/>
      </c>
    </row>
    <row r="52">
      <c r="A52" s="10" t="inlineStr">
        <is>
          <t>CNS03</t>
        </is>
      </c>
      <c r="B52" s="7" t="inlineStr">
        <is>
          <t>Utilities</t>
        </is>
      </c>
      <c r="C52" s="11">
        <f>MAX(-Parameters!C40,MIN($C$5*Parameters!C40,Parameters!C64-Parameters!C40))</f>
        <v/>
      </c>
      <c r="D52" s="11">
        <f>MAX(-Parameters!D40,MIN($C$5*Parameters!D40,Parameters!D64-Parameters!D40))</f>
        <v/>
      </c>
      <c r="E52" s="11">
        <f>MAX(-Parameters!E40,MIN($C$5*Parameters!E40,Parameters!E64-Parameters!E40))</f>
        <v/>
      </c>
      <c r="F52" s="11">
        <f>MAX(-Parameters!F40,MIN($C$5*Parameters!F40,Parameters!F64-Parameters!F40))</f>
        <v/>
      </c>
      <c r="G52" s="11">
        <f>MAX(-Parameters!G40,MIN($C$5*Parameters!G40,Parameters!G64-Parameters!G40))</f>
        <v/>
      </c>
    </row>
    <row r="53">
      <c r="A53" s="10" t="inlineStr">
        <is>
          <t>CNS04</t>
        </is>
      </c>
      <c r="B53" s="7" t="inlineStr">
        <is>
          <t>Construction</t>
        </is>
      </c>
      <c r="C53" s="11">
        <f>MAX(-Parameters!C41,MIN($C$5*Parameters!C41,Parameters!C65-Parameters!C41))</f>
        <v/>
      </c>
      <c r="D53" s="11">
        <f>MAX(-Parameters!D41,MIN($C$5*Parameters!D41,Parameters!D65-Parameters!D41))</f>
        <v/>
      </c>
      <c r="E53" s="11">
        <f>MAX(-Parameters!E41,MIN($C$5*Parameters!E41,Parameters!E65-Parameters!E41))</f>
        <v/>
      </c>
      <c r="F53" s="11">
        <f>MAX(-Parameters!F41,MIN($C$5*Parameters!F41,Parameters!F65-Parameters!F41))</f>
        <v/>
      </c>
      <c r="G53" s="11">
        <f>MAX(-Parameters!G41,MIN($C$5*Parameters!G41,Parameters!G65-Parameters!G41))</f>
        <v/>
      </c>
    </row>
    <row r="54">
      <c r="A54" s="10" t="inlineStr">
        <is>
          <t>CNS05</t>
        </is>
      </c>
      <c r="B54" s="7" t="inlineStr">
        <is>
          <t>Manufacturing</t>
        </is>
      </c>
      <c r="C54" s="11">
        <f>MAX(-Parameters!C42,MIN($C$5*Parameters!C42,Parameters!C66-Parameters!C42))</f>
        <v/>
      </c>
      <c r="D54" s="11">
        <f>MAX(-Parameters!D42,MIN($C$5*Parameters!D42,Parameters!D66-Parameters!D42))</f>
        <v/>
      </c>
      <c r="E54" s="11">
        <f>MAX(-Parameters!E42,MIN($C$5*Parameters!E42,Parameters!E66-Parameters!E42))</f>
        <v/>
      </c>
      <c r="F54" s="11">
        <f>MAX(-Parameters!F42,MIN($C$5*Parameters!F42,Parameters!F66-Parameters!F42))</f>
        <v/>
      </c>
      <c r="G54" s="11">
        <f>MAX(-Parameters!G42,MIN($C$5*Parameters!G42,Parameters!G66-Parameters!G42))</f>
        <v/>
      </c>
    </row>
    <row r="55">
      <c r="A55" s="10" t="inlineStr">
        <is>
          <t>CNS06</t>
        </is>
      </c>
      <c r="B55" s="7" t="inlineStr">
        <is>
          <t>Wholesale Trade</t>
        </is>
      </c>
      <c r="C55" s="11">
        <f>MAX(-Parameters!C43,MIN($C$5*Parameters!C43,Parameters!C67-Parameters!C43))</f>
        <v/>
      </c>
      <c r="D55" s="11">
        <f>MAX(-Parameters!D43,MIN($C$5*Parameters!D43,Parameters!D67-Parameters!D43))</f>
        <v/>
      </c>
      <c r="E55" s="11">
        <f>MAX(-Parameters!E43,MIN($C$5*Parameters!E43,Parameters!E67-Parameters!E43))</f>
        <v/>
      </c>
      <c r="F55" s="11">
        <f>MAX(-Parameters!F43,MIN($C$5*Parameters!F43,Parameters!F67-Parameters!F43))</f>
        <v/>
      </c>
      <c r="G55" s="11">
        <f>MAX(-Parameters!G43,MIN($C$5*Parameters!G43,Parameters!G67-Parameters!G43))</f>
        <v/>
      </c>
    </row>
    <row r="56">
      <c r="A56" s="10" t="inlineStr">
        <is>
          <t>CNS07</t>
        </is>
      </c>
      <c r="B56" s="7" t="inlineStr">
        <is>
          <t>Retail Trade</t>
        </is>
      </c>
      <c r="C56" s="11">
        <f>MAX(-Parameters!C44,MIN($C$5*Parameters!C44,Parameters!C68-Parameters!C44))</f>
        <v/>
      </c>
      <c r="D56" s="11">
        <f>MAX(-Parameters!D44,MIN($C$5*Parameters!D44,Parameters!D68-Parameters!D44))</f>
        <v/>
      </c>
      <c r="E56" s="11">
        <f>MAX(-Parameters!E44,MIN($C$5*Parameters!E44,Parameters!E68-Parameters!E44))</f>
        <v/>
      </c>
      <c r="F56" s="11">
        <f>MAX(-Parameters!F44,MIN($C$5*Parameters!F44,Parameters!F68-Parameters!F44))</f>
        <v/>
      </c>
      <c r="G56" s="11">
        <f>MAX(-Parameters!G44,MIN($C$5*Parameters!G44,Parameters!G68-Parameters!G44))</f>
        <v/>
      </c>
    </row>
    <row r="57">
      <c r="A57" s="10" t="inlineStr">
        <is>
          <t>CNS08</t>
        </is>
      </c>
      <c r="B57" s="7" t="inlineStr">
        <is>
          <t>Transportation &amp; Warehousing</t>
        </is>
      </c>
      <c r="C57" s="11">
        <f>MAX(-Parameters!C45,MIN($C$5*Parameters!C45,Parameters!C69-Parameters!C45))</f>
        <v/>
      </c>
      <c r="D57" s="11">
        <f>MAX(-Parameters!D45,MIN($C$5*Parameters!D45,Parameters!D69-Parameters!D45))</f>
        <v/>
      </c>
      <c r="E57" s="11">
        <f>MAX(-Parameters!E45,MIN($C$5*Parameters!E45,Parameters!E69-Parameters!E45))</f>
        <v/>
      </c>
      <c r="F57" s="11">
        <f>MAX(-Parameters!F45,MIN($C$5*Parameters!F45,Parameters!F69-Parameters!F45))</f>
        <v/>
      </c>
      <c r="G57" s="11">
        <f>MAX(-Parameters!G45,MIN($C$5*Parameters!G45,Parameters!G69-Parameters!G45))</f>
        <v/>
      </c>
    </row>
    <row r="58">
      <c r="A58" s="10" t="inlineStr">
        <is>
          <t>CNS09</t>
        </is>
      </c>
      <c r="B58" s="7" t="inlineStr">
        <is>
          <t>Information</t>
        </is>
      </c>
      <c r="C58" s="11">
        <f>MAX(-Parameters!C46,MIN($C$5*Parameters!C46,Parameters!C70-Parameters!C46))</f>
        <v/>
      </c>
      <c r="D58" s="11">
        <f>MAX(-Parameters!D46,MIN($C$5*Parameters!D46,Parameters!D70-Parameters!D46))</f>
        <v/>
      </c>
      <c r="E58" s="11">
        <f>MAX(-Parameters!E46,MIN($C$5*Parameters!E46,Parameters!E70-Parameters!E46))</f>
        <v/>
      </c>
      <c r="F58" s="11">
        <f>MAX(-Parameters!F46,MIN($C$5*Parameters!F46,Parameters!F70-Parameters!F46))</f>
        <v/>
      </c>
      <c r="G58" s="11">
        <f>MAX(-Parameters!G46,MIN($C$5*Parameters!G46,Parameters!G70-Parameters!G46))</f>
        <v/>
      </c>
    </row>
    <row r="59">
      <c r="A59" s="10" t="inlineStr">
        <is>
          <t>CNS10</t>
        </is>
      </c>
      <c r="B59" s="7" t="inlineStr">
        <is>
          <t>Finance &amp; Insurance</t>
        </is>
      </c>
      <c r="C59" s="11">
        <f>MAX(-Parameters!C47,MIN($C$5*Parameters!C47,Parameters!C71-Parameters!C47))</f>
        <v/>
      </c>
      <c r="D59" s="11">
        <f>MAX(-Parameters!D47,MIN($C$5*Parameters!D47,Parameters!D71-Parameters!D47))</f>
        <v/>
      </c>
      <c r="E59" s="11">
        <f>MAX(-Parameters!E47,MIN($C$5*Parameters!E47,Parameters!E71-Parameters!E47))</f>
        <v/>
      </c>
      <c r="F59" s="11">
        <f>MAX(-Parameters!F47,MIN($C$5*Parameters!F47,Parameters!F71-Parameters!F47))</f>
        <v/>
      </c>
      <c r="G59" s="11">
        <f>MAX(-Parameters!G47,MIN($C$5*Parameters!G47,Parameters!G71-Parameters!G47))</f>
        <v/>
      </c>
    </row>
    <row r="60">
      <c r="A60" s="10" t="inlineStr">
        <is>
          <t>CNS11</t>
        </is>
      </c>
      <c r="B60" s="7" t="inlineStr">
        <is>
          <t>Real Estate &amp; Rental/Leasing</t>
        </is>
      </c>
      <c r="C60" s="11">
        <f>MAX(-Parameters!C48,MIN($C$5*Parameters!C48,Parameters!C72-Parameters!C48))</f>
        <v/>
      </c>
      <c r="D60" s="11">
        <f>MAX(-Parameters!D48,MIN($C$5*Parameters!D48,Parameters!D72-Parameters!D48))</f>
        <v/>
      </c>
      <c r="E60" s="11">
        <f>MAX(-Parameters!E48,MIN($C$5*Parameters!E48,Parameters!E72-Parameters!E48))</f>
        <v/>
      </c>
      <c r="F60" s="11">
        <f>MAX(-Parameters!F48,MIN($C$5*Parameters!F48,Parameters!F72-Parameters!F48))</f>
        <v/>
      </c>
      <c r="G60" s="11">
        <f>MAX(-Parameters!G48,MIN($C$5*Parameters!G48,Parameters!G72-Parameters!G48))</f>
        <v/>
      </c>
    </row>
    <row r="61">
      <c r="A61" s="10" t="inlineStr">
        <is>
          <t>CNS12</t>
        </is>
      </c>
      <c r="B61" s="7" t="inlineStr">
        <is>
          <t>Professional, Scientific, Tech</t>
        </is>
      </c>
      <c r="C61" s="11">
        <f>MAX(-Parameters!C49,MIN($C$5*Parameters!C49,Parameters!C73-Parameters!C49))</f>
        <v/>
      </c>
      <c r="D61" s="11">
        <f>MAX(-Parameters!D49,MIN($C$5*Parameters!D49,Parameters!D73-Parameters!D49))</f>
        <v/>
      </c>
      <c r="E61" s="11">
        <f>MAX(-Parameters!E49,MIN($C$5*Parameters!E49,Parameters!E73-Parameters!E49))</f>
        <v/>
      </c>
      <c r="F61" s="11">
        <f>MAX(-Parameters!F49,MIN($C$5*Parameters!F49,Parameters!F73-Parameters!F49))</f>
        <v/>
      </c>
      <c r="G61" s="11">
        <f>MAX(-Parameters!G49,MIN($C$5*Parameters!G49,Parameters!G73-Parameters!G49))</f>
        <v/>
      </c>
    </row>
    <row r="62">
      <c r="A62" s="10" t="inlineStr">
        <is>
          <t>CNS13</t>
        </is>
      </c>
      <c r="B62" s="7" t="inlineStr">
        <is>
          <t>Management of Companies</t>
        </is>
      </c>
      <c r="C62" s="11">
        <f>MAX(-Parameters!C50,MIN($C$5*Parameters!C50,Parameters!C74-Parameters!C50))</f>
        <v/>
      </c>
      <c r="D62" s="11">
        <f>MAX(-Parameters!D50,MIN($C$5*Parameters!D50,Parameters!D74-Parameters!D50))</f>
        <v/>
      </c>
      <c r="E62" s="11">
        <f>MAX(-Parameters!E50,MIN($C$5*Parameters!E50,Parameters!E74-Parameters!E50))</f>
        <v/>
      </c>
      <c r="F62" s="11">
        <f>MAX(-Parameters!F50,MIN($C$5*Parameters!F50,Parameters!F74-Parameters!F50))</f>
        <v/>
      </c>
      <c r="G62" s="11">
        <f>MAX(-Parameters!G50,MIN($C$5*Parameters!G50,Parameters!G74-Parameters!G50))</f>
        <v/>
      </c>
    </row>
    <row r="63">
      <c r="A63" s="10" t="inlineStr">
        <is>
          <t>CNS14</t>
        </is>
      </c>
      <c r="B63" s="7" t="inlineStr">
        <is>
          <t>Admin/Support/Waste Mgmt</t>
        </is>
      </c>
      <c r="C63" s="11">
        <f>MAX(-Parameters!C51,MIN($C$5*Parameters!C51,Parameters!C75-Parameters!C51))</f>
        <v/>
      </c>
      <c r="D63" s="11">
        <f>MAX(-Parameters!D51,MIN($C$5*Parameters!D51,Parameters!D75-Parameters!D51))</f>
        <v/>
      </c>
      <c r="E63" s="11">
        <f>MAX(-Parameters!E51,MIN($C$5*Parameters!E51,Parameters!E75-Parameters!E51))</f>
        <v/>
      </c>
      <c r="F63" s="11">
        <f>MAX(-Parameters!F51,MIN($C$5*Parameters!F51,Parameters!F75-Parameters!F51))</f>
        <v/>
      </c>
      <c r="G63" s="11">
        <f>MAX(-Parameters!G51,MIN($C$5*Parameters!G51,Parameters!G75-Parameters!G51))</f>
        <v/>
      </c>
    </row>
    <row r="64">
      <c r="A64" s="10" t="inlineStr">
        <is>
          <t>CNS15</t>
        </is>
      </c>
      <c r="B64" s="7" t="inlineStr">
        <is>
          <t>Educational Services</t>
        </is>
      </c>
      <c r="C64" s="11">
        <f>MAX(-Parameters!C52,MIN($C$5*Parameters!C52,Parameters!C76-Parameters!C52))</f>
        <v/>
      </c>
      <c r="D64" s="11">
        <f>MAX(-Parameters!D52,MIN($C$5*Parameters!D52,Parameters!D76-Parameters!D52))</f>
        <v/>
      </c>
      <c r="E64" s="11">
        <f>MAX(-Parameters!E52,MIN($C$5*Parameters!E52,Parameters!E76-Parameters!E52))</f>
        <v/>
      </c>
      <c r="F64" s="11">
        <f>MAX(-Parameters!F52,MIN($C$5*Parameters!F52,Parameters!F76-Parameters!F52))</f>
        <v/>
      </c>
      <c r="G64" s="11">
        <f>MAX(-Parameters!G52,MIN($C$5*Parameters!G52,Parameters!G76-Parameters!G52))</f>
        <v/>
      </c>
    </row>
    <row r="65">
      <c r="A65" s="10" t="inlineStr">
        <is>
          <t>CNS16</t>
        </is>
      </c>
      <c r="B65" s="7" t="inlineStr">
        <is>
          <t>Healthcare &amp; Social Assistance</t>
        </is>
      </c>
      <c r="C65" s="11">
        <f>MAX(-Parameters!C53,MIN($C$5*Parameters!C53,Parameters!C77-Parameters!C53))</f>
        <v/>
      </c>
      <c r="D65" s="11">
        <f>MAX(-Parameters!D53,MIN($C$5*Parameters!D53,Parameters!D77-Parameters!D53))</f>
        <v/>
      </c>
      <c r="E65" s="11">
        <f>MAX(-Parameters!E53,MIN($C$5*Parameters!E53,Parameters!E77-Parameters!E53))</f>
        <v/>
      </c>
      <c r="F65" s="11">
        <f>MAX(-Parameters!F53,MIN($C$5*Parameters!F53,Parameters!F77-Parameters!F53))</f>
        <v/>
      </c>
      <c r="G65" s="11">
        <f>MAX(-Parameters!G53,MIN($C$5*Parameters!G53,Parameters!G77-Parameters!G53))</f>
        <v/>
      </c>
    </row>
    <row r="66">
      <c r="A66" s="10" t="inlineStr">
        <is>
          <t>CNS17</t>
        </is>
      </c>
      <c r="B66" s="7" t="inlineStr">
        <is>
          <t>Arts, Entertainment, Recreation</t>
        </is>
      </c>
      <c r="C66" s="11">
        <f>MAX(-Parameters!C54,MIN($C$5*Parameters!C54,Parameters!C78-Parameters!C54))</f>
        <v/>
      </c>
      <c r="D66" s="11">
        <f>MAX(-Parameters!D54,MIN($C$5*Parameters!D54,Parameters!D78-Parameters!D54))</f>
        <v/>
      </c>
      <c r="E66" s="11">
        <f>MAX(-Parameters!E54,MIN($C$5*Parameters!E54,Parameters!E78-Parameters!E54))</f>
        <v/>
      </c>
      <c r="F66" s="11">
        <f>MAX(-Parameters!F54,MIN($C$5*Parameters!F54,Parameters!F78-Parameters!F54))</f>
        <v/>
      </c>
      <c r="G66" s="11">
        <f>MAX(-Parameters!G54,MIN($C$5*Parameters!G54,Parameters!G78-Parameters!G54))</f>
        <v/>
      </c>
    </row>
    <row r="67">
      <c r="A67" s="10" t="inlineStr">
        <is>
          <t>CNS18</t>
        </is>
      </c>
      <c r="B67" s="7" t="inlineStr">
        <is>
          <t>Accommodation &amp; Food Services</t>
        </is>
      </c>
      <c r="C67" s="11">
        <f>MAX(-Parameters!C55,MIN($C$5*Parameters!C55,Parameters!C79-Parameters!C55))</f>
        <v/>
      </c>
      <c r="D67" s="11">
        <f>MAX(-Parameters!D55,MIN($C$5*Parameters!D55,Parameters!D79-Parameters!D55))</f>
        <v/>
      </c>
      <c r="E67" s="11">
        <f>MAX(-Parameters!E55,MIN($C$5*Parameters!E55,Parameters!E79-Parameters!E55))</f>
        <v/>
      </c>
      <c r="F67" s="11">
        <f>MAX(-Parameters!F55,MIN($C$5*Parameters!F55,Parameters!F79-Parameters!F55))</f>
        <v/>
      </c>
      <c r="G67" s="11">
        <f>MAX(-Parameters!G55,MIN($C$5*Parameters!G55,Parameters!G79-Parameters!G55))</f>
        <v/>
      </c>
    </row>
    <row r="68">
      <c r="A68" s="10" t="inlineStr">
        <is>
          <t>CNS19</t>
        </is>
      </c>
      <c r="B68" s="7" t="inlineStr">
        <is>
          <t>Other Services</t>
        </is>
      </c>
      <c r="C68" s="11">
        <f>MAX(-Parameters!C56,MIN($C$5*Parameters!C56,Parameters!C80-Parameters!C56))</f>
        <v/>
      </c>
      <c r="D68" s="11">
        <f>MAX(-Parameters!D56,MIN($C$5*Parameters!D56,Parameters!D80-Parameters!D56))</f>
        <v/>
      </c>
      <c r="E68" s="11">
        <f>MAX(-Parameters!E56,MIN($C$5*Parameters!E56,Parameters!E80-Parameters!E56))</f>
        <v/>
      </c>
      <c r="F68" s="11">
        <f>MAX(-Parameters!F56,MIN($C$5*Parameters!F56,Parameters!F80-Parameters!F56))</f>
        <v/>
      </c>
      <c r="G68" s="11">
        <f>MAX(-Parameters!G56,MIN($C$5*Parameters!G56,Parameters!G80-Parameters!G56))</f>
        <v/>
      </c>
    </row>
    <row r="69">
      <c r="A69" s="10" t="inlineStr">
        <is>
          <t>CNS20</t>
        </is>
      </c>
      <c r="B69" s="7" t="inlineStr">
        <is>
          <t>Public Administration</t>
        </is>
      </c>
      <c r="C69" s="11">
        <f>MAX(-Parameters!C57,MIN($C$5*Parameters!C57,Parameters!C81-Parameters!C57))</f>
        <v/>
      </c>
      <c r="D69" s="11">
        <f>MAX(-Parameters!D57,MIN($C$5*Parameters!D57,Parameters!D81-Parameters!D57))</f>
        <v/>
      </c>
      <c r="E69" s="11">
        <f>MAX(-Parameters!E57,MIN($C$5*Parameters!E57,Parameters!E81-Parameters!E57))</f>
        <v/>
      </c>
      <c r="F69" s="11">
        <f>MAX(-Parameters!F57,MIN($C$5*Parameters!F57,Parameters!F81-Parameters!F57))</f>
        <v/>
      </c>
      <c r="G69" s="11">
        <f>MAX(-Parameters!G57,MIN($C$5*Parameters!G57,Parameters!G81-Parameters!G57))</f>
        <v/>
      </c>
    </row>
    <row r="71">
      <c r="A71" s="3" t="inlineStr">
        <is>
          <t>Step 3: Perturbation Weights  Wₑₒ = 1 − Δwₑₒ / (1 − wₑₒ)</t>
        </is>
      </c>
      <c r="B71" s="4" t="n"/>
      <c r="C71" s="4" t="n"/>
      <c r="D71" s="4" t="n"/>
      <c r="E71" s="4" t="n"/>
      <c r="F71" s="4" t="n"/>
      <c r="G71" s="4" t="n"/>
      <c r="H71" s="4" t="n"/>
    </row>
    <row r="72">
      <c r="A72" s="2" t="inlineStr">
        <is>
          <t>Weight &lt; 1 means fewer trips (more WFH). Weight = 1 means no change. Weight &gt; 1 means more trips (less WFH).</t>
        </is>
      </c>
    </row>
    <row r="73">
      <c r="A73" s="6" t="inlineStr">
        <is>
          <t>LODES</t>
        </is>
      </c>
      <c r="B73" s="5" t="inlineStr">
        <is>
          <t>Industry</t>
        </is>
      </c>
      <c r="C73" s="6" t="inlineStr">
        <is>
          <t>Less than HS</t>
        </is>
      </c>
      <c r="D73" s="6" t="inlineStr">
        <is>
          <t>HS Diploma</t>
        </is>
      </c>
      <c r="E73" s="6" t="inlineStr">
        <is>
          <t>Some College/Assoc.</t>
        </is>
      </c>
      <c r="F73" s="6" t="inlineStr">
        <is>
          <t>Bachelor's</t>
        </is>
      </c>
      <c r="G73" s="6" t="inlineStr">
        <is>
          <t>Advanced</t>
        </is>
      </c>
    </row>
    <row r="74">
      <c r="A74" s="10" t="inlineStr">
        <is>
          <t>CNS01</t>
        </is>
      </c>
      <c r="B74" s="7" t="inlineStr">
        <is>
          <t>Agriculture, Forestry, Fishing</t>
        </is>
      </c>
      <c r="C74" s="22">
        <f>1-C50/(1-Parameters!C38)</f>
        <v/>
      </c>
      <c r="D74" s="22">
        <f>1-D50/(1-Parameters!D38)</f>
        <v/>
      </c>
      <c r="E74" s="22">
        <f>1-E50/(1-Parameters!E38)</f>
        <v/>
      </c>
      <c r="F74" s="22">
        <f>1-F50/(1-Parameters!F38)</f>
        <v/>
      </c>
      <c r="G74" s="22">
        <f>1-G50/(1-Parameters!G38)</f>
        <v/>
      </c>
    </row>
    <row r="75">
      <c r="A75" s="10" t="inlineStr">
        <is>
          <t>CNS02</t>
        </is>
      </c>
      <c r="B75" s="7" t="inlineStr">
        <is>
          <t>Mining, Quarrying, Oil/Gas</t>
        </is>
      </c>
      <c r="C75" s="22">
        <f>1-C51/(1-Parameters!C39)</f>
        <v/>
      </c>
      <c r="D75" s="22">
        <f>1-D51/(1-Parameters!D39)</f>
        <v/>
      </c>
      <c r="E75" s="22">
        <f>1-E51/(1-Parameters!E39)</f>
        <v/>
      </c>
      <c r="F75" s="22">
        <f>1-F51/(1-Parameters!F39)</f>
        <v/>
      </c>
      <c r="G75" s="22">
        <f>1-G51/(1-Parameters!G39)</f>
        <v/>
      </c>
    </row>
    <row r="76">
      <c r="A76" s="10" t="inlineStr">
        <is>
          <t>CNS03</t>
        </is>
      </c>
      <c r="B76" s="7" t="inlineStr">
        <is>
          <t>Utilities</t>
        </is>
      </c>
      <c r="C76" s="22">
        <f>1-C52/(1-Parameters!C40)</f>
        <v/>
      </c>
      <c r="D76" s="22">
        <f>1-D52/(1-Parameters!D40)</f>
        <v/>
      </c>
      <c r="E76" s="22">
        <f>1-E52/(1-Parameters!E40)</f>
        <v/>
      </c>
      <c r="F76" s="22">
        <f>1-F52/(1-Parameters!F40)</f>
        <v/>
      </c>
      <c r="G76" s="22">
        <f>1-G52/(1-Parameters!G40)</f>
        <v/>
      </c>
    </row>
    <row r="77">
      <c r="A77" s="10" t="inlineStr">
        <is>
          <t>CNS04</t>
        </is>
      </c>
      <c r="B77" s="7" t="inlineStr">
        <is>
          <t>Construction</t>
        </is>
      </c>
      <c r="C77" s="22">
        <f>1-C53/(1-Parameters!C41)</f>
        <v/>
      </c>
      <c r="D77" s="22">
        <f>1-D53/(1-Parameters!D41)</f>
        <v/>
      </c>
      <c r="E77" s="22">
        <f>1-E53/(1-Parameters!E41)</f>
        <v/>
      </c>
      <c r="F77" s="22">
        <f>1-F53/(1-Parameters!F41)</f>
        <v/>
      </c>
      <c r="G77" s="22">
        <f>1-G53/(1-Parameters!G41)</f>
        <v/>
      </c>
    </row>
    <row r="78">
      <c r="A78" s="10" t="inlineStr">
        <is>
          <t>CNS05</t>
        </is>
      </c>
      <c r="B78" s="7" t="inlineStr">
        <is>
          <t>Manufacturing</t>
        </is>
      </c>
      <c r="C78" s="22">
        <f>1-C54/(1-Parameters!C42)</f>
        <v/>
      </c>
      <c r="D78" s="22">
        <f>1-D54/(1-Parameters!D42)</f>
        <v/>
      </c>
      <c r="E78" s="22">
        <f>1-E54/(1-Parameters!E42)</f>
        <v/>
      </c>
      <c r="F78" s="22">
        <f>1-F54/(1-Parameters!F42)</f>
        <v/>
      </c>
      <c r="G78" s="22">
        <f>1-G54/(1-Parameters!G42)</f>
        <v/>
      </c>
    </row>
    <row r="79">
      <c r="A79" s="10" t="inlineStr">
        <is>
          <t>CNS06</t>
        </is>
      </c>
      <c r="B79" s="7" t="inlineStr">
        <is>
          <t>Wholesale Trade</t>
        </is>
      </c>
      <c r="C79" s="22">
        <f>1-C55/(1-Parameters!C43)</f>
        <v/>
      </c>
      <c r="D79" s="22">
        <f>1-D55/(1-Parameters!D43)</f>
        <v/>
      </c>
      <c r="E79" s="22">
        <f>1-E55/(1-Parameters!E43)</f>
        <v/>
      </c>
      <c r="F79" s="22">
        <f>1-F55/(1-Parameters!F43)</f>
        <v/>
      </c>
      <c r="G79" s="22">
        <f>1-G55/(1-Parameters!G43)</f>
        <v/>
      </c>
    </row>
    <row r="80">
      <c r="A80" s="10" t="inlineStr">
        <is>
          <t>CNS07</t>
        </is>
      </c>
      <c r="B80" s="7" t="inlineStr">
        <is>
          <t>Retail Trade</t>
        </is>
      </c>
      <c r="C80" s="22">
        <f>1-C56/(1-Parameters!C44)</f>
        <v/>
      </c>
      <c r="D80" s="22">
        <f>1-D56/(1-Parameters!D44)</f>
        <v/>
      </c>
      <c r="E80" s="22">
        <f>1-E56/(1-Parameters!E44)</f>
        <v/>
      </c>
      <c r="F80" s="22">
        <f>1-F56/(1-Parameters!F44)</f>
        <v/>
      </c>
      <c r="G80" s="22">
        <f>1-G56/(1-Parameters!G44)</f>
        <v/>
      </c>
    </row>
    <row r="81">
      <c r="A81" s="10" t="inlineStr">
        <is>
          <t>CNS08</t>
        </is>
      </c>
      <c r="B81" s="7" t="inlineStr">
        <is>
          <t>Transportation &amp; Warehousing</t>
        </is>
      </c>
      <c r="C81" s="22">
        <f>1-C57/(1-Parameters!C45)</f>
        <v/>
      </c>
      <c r="D81" s="22">
        <f>1-D57/(1-Parameters!D45)</f>
        <v/>
      </c>
      <c r="E81" s="22">
        <f>1-E57/(1-Parameters!E45)</f>
        <v/>
      </c>
      <c r="F81" s="22">
        <f>1-F57/(1-Parameters!F45)</f>
        <v/>
      </c>
      <c r="G81" s="22">
        <f>1-G57/(1-Parameters!G45)</f>
        <v/>
      </c>
    </row>
    <row r="82">
      <c r="A82" s="10" t="inlineStr">
        <is>
          <t>CNS09</t>
        </is>
      </c>
      <c r="B82" s="7" t="inlineStr">
        <is>
          <t>Information</t>
        </is>
      </c>
      <c r="C82" s="22">
        <f>1-C58/(1-Parameters!C46)</f>
        <v/>
      </c>
      <c r="D82" s="22">
        <f>1-D58/(1-Parameters!D46)</f>
        <v/>
      </c>
      <c r="E82" s="22">
        <f>1-E58/(1-Parameters!E46)</f>
        <v/>
      </c>
      <c r="F82" s="22">
        <f>1-F58/(1-Parameters!F46)</f>
        <v/>
      </c>
      <c r="G82" s="22">
        <f>1-G58/(1-Parameters!G46)</f>
        <v/>
      </c>
    </row>
    <row r="83">
      <c r="A83" s="10" t="inlineStr">
        <is>
          <t>CNS10</t>
        </is>
      </c>
      <c r="B83" s="7" t="inlineStr">
        <is>
          <t>Finance &amp; Insurance</t>
        </is>
      </c>
      <c r="C83" s="22">
        <f>1-C59/(1-Parameters!C47)</f>
        <v/>
      </c>
      <c r="D83" s="22">
        <f>1-D59/(1-Parameters!D47)</f>
        <v/>
      </c>
      <c r="E83" s="22">
        <f>1-E59/(1-Parameters!E47)</f>
        <v/>
      </c>
      <c r="F83" s="22">
        <f>1-F59/(1-Parameters!F47)</f>
        <v/>
      </c>
      <c r="G83" s="22">
        <f>1-G59/(1-Parameters!G47)</f>
        <v/>
      </c>
    </row>
    <row r="84">
      <c r="A84" s="10" t="inlineStr">
        <is>
          <t>CNS11</t>
        </is>
      </c>
      <c r="B84" s="7" t="inlineStr">
        <is>
          <t>Real Estate &amp; Rental/Leasing</t>
        </is>
      </c>
      <c r="C84" s="22">
        <f>1-C60/(1-Parameters!C48)</f>
        <v/>
      </c>
      <c r="D84" s="22">
        <f>1-D60/(1-Parameters!D48)</f>
        <v/>
      </c>
      <c r="E84" s="22">
        <f>1-E60/(1-Parameters!E48)</f>
        <v/>
      </c>
      <c r="F84" s="22">
        <f>1-F60/(1-Parameters!F48)</f>
        <v/>
      </c>
      <c r="G84" s="22">
        <f>1-G60/(1-Parameters!G48)</f>
        <v/>
      </c>
    </row>
    <row r="85">
      <c r="A85" s="10" t="inlineStr">
        <is>
          <t>CNS12</t>
        </is>
      </c>
      <c r="B85" s="7" t="inlineStr">
        <is>
          <t>Professional, Scientific, Tech</t>
        </is>
      </c>
      <c r="C85" s="22">
        <f>1-C61/(1-Parameters!C49)</f>
        <v/>
      </c>
      <c r="D85" s="22">
        <f>1-D61/(1-Parameters!D49)</f>
        <v/>
      </c>
      <c r="E85" s="22">
        <f>1-E61/(1-Parameters!E49)</f>
        <v/>
      </c>
      <c r="F85" s="22">
        <f>1-F61/(1-Parameters!F49)</f>
        <v/>
      </c>
      <c r="G85" s="22">
        <f>1-G61/(1-Parameters!G49)</f>
        <v/>
      </c>
    </row>
    <row r="86">
      <c r="A86" s="10" t="inlineStr">
        <is>
          <t>CNS13</t>
        </is>
      </c>
      <c r="B86" s="7" t="inlineStr">
        <is>
          <t>Management of Companies</t>
        </is>
      </c>
      <c r="C86" s="22">
        <f>1-C62/(1-Parameters!C50)</f>
        <v/>
      </c>
      <c r="D86" s="22">
        <f>1-D62/(1-Parameters!D50)</f>
        <v/>
      </c>
      <c r="E86" s="22">
        <f>1-E62/(1-Parameters!E50)</f>
        <v/>
      </c>
      <c r="F86" s="22">
        <f>1-F62/(1-Parameters!F50)</f>
        <v/>
      </c>
      <c r="G86" s="22">
        <f>1-G62/(1-Parameters!G50)</f>
        <v/>
      </c>
    </row>
    <row r="87">
      <c r="A87" s="10" t="inlineStr">
        <is>
          <t>CNS14</t>
        </is>
      </c>
      <c r="B87" s="7" t="inlineStr">
        <is>
          <t>Admin/Support/Waste Mgmt</t>
        </is>
      </c>
      <c r="C87" s="22">
        <f>1-C63/(1-Parameters!C51)</f>
        <v/>
      </c>
      <c r="D87" s="22">
        <f>1-D63/(1-Parameters!D51)</f>
        <v/>
      </c>
      <c r="E87" s="22">
        <f>1-E63/(1-Parameters!E51)</f>
        <v/>
      </c>
      <c r="F87" s="22">
        <f>1-F63/(1-Parameters!F51)</f>
        <v/>
      </c>
      <c r="G87" s="22">
        <f>1-G63/(1-Parameters!G51)</f>
        <v/>
      </c>
    </row>
    <row r="88">
      <c r="A88" s="10" t="inlineStr">
        <is>
          <t>CNS15</t>
        </is>
      </c>
      <c r="B88" s="7" t="inlineStr">
        <is>
          <t>Educational Services</t>
        </is>
      </c>
      <c r="C88" s="22">
        <f>1-C64/(1-Parameters!C52)</f>
        <v/>
      </c>
      <c r="D88" s="22">
        <f>1-D64/(1-Parameters!D52)</f>
        <v/>
      </c>
      <c r="E88" s="22">
        <f>1-E64/(1-Parameters!E52)</f>
        <v/>
      </c>
      <c r="F88" s="22">
        <f>1-F64/(1-Parameters!F52)</f>
        <v/>
      </c>
      <c r="G88" s="22">
        <f>1-G64/(1-Parameters!G52)</f>
        <v/>
      </c>
    </row>
    <row r="89">
      <c r="A89" s="10" t="inlineStr">
        <is>
          <t>CNS16</t>
        </is>
      </c>
      <c r="B89" s="7" t="inlineStr">
        <is>
          <t>Healthcare &amp; Social Assistance</t>
        </is>
      </c>
      <c r="C89" s="22">
        <f>1-C65/(1-Parameters!C53)</f>
        <v/>
      </c>
      <c r="D89" s="22">
        <f>1-D65/(1-Parameters!D53)</f>
        <v/>
      </c>
      <c r="E89" s="22">
        <f>1-E65/(1-Parameters!E53)</f>
        <v/>
      </c>
      <c r="F89" s="22">
        <f>1-F65/(1-Parameters!F53)</f>
        <v/>
      </c>
      <c r="G89" s="22">
        <f>1-G65/(1-Parameters!G53)</f>
        <v/>
      </c>
    </row>
    <row r="90">
      <c r="A90" s="10" t="inlineStr">
        <is>
          <t>CNS17</t>
        </is>
      </c>
      <c r="B90" s="7" t="inlineStr">
        <is>
          <t>Arts, Entertainment, Recreation</t>
        </is>
      </c>
      <c r="C90" s="22">
        <f>1-C66/(1-Parameters!C54)</f>
        <v/>
      </c>
      <c r="D90" s="22">
        <f>1-D66/(1-Parameters!D54)</f>
        <v/>
      </c>
      <c r="E90" s="22">
        <f>1-E66/(1-Parameters!E54)</f>
        <v/>
      </c>
      <c r="F90" s="22">
        <f>1-F66/(1-Parameters!F54)</f>
        <v/>
      </c>
      <c r="G90" s="22">
        <f>1-G66/(1-Parameters!G54)</f>
        <v/>
      </c>
    </row>
    <row r="91">
      <c r="A91" s="10" t="inlineStr">
        <is>
          <t>CNS18</t>
        </is>
      </c>
      <c r="B91" s="7" t="inlineStr">
        <is>
          <t>Accommodation &amp; Food Services</t>
        </is>
      </c>
      <c r="C91" s="22">
        <f>1-C67/(1-Parameters!C55)</f>
        <v/>
      </c>
      <c r="D91" s="22">
        <f>1-D67/(1-Parameters!D55)</f>
        <v/>
      </c>
      <c r="E91" s="22">
        <f>1-E67/(1-Parameters!E55)</f>
        <v/>
      </c>
      <c r="F91" s="22">
        <f>1-F67/(1-Parameters!F55)</f>
        <v/>
      </c>
      <c r="G91" s="22">
        <f>1-G67/(1-Parameters!G55)</f>
        <v/>
      </c>
    </row>
    <row r="92">
      <c r="A92" s="10" t="inlineStr">
        <is>
          <t>CNS19</t>
        </is>
      </c>
      <c r="B92" s="7" t="inlineStr">
        <is>
          <t>Other Services</t>
        </is>
      </c>
      <c r="C92" s="22">
        <f>1-C68/(1-Parameters!C56)</f>
        <v/>
      </c>
      <c r="D92" s="22">
        <f>1-D68/(1-Parameters!D56)</f>
        <v/>
      </c>
      <c r="E92" s="22">
        <f>1-E68/(1-Parameters!E56)</f>
        <v/>
      </c>
      <c r="F92" s="22">
        <f>1-F68/(1-Parameters!F56)</f>
        <v/>
      </c>
      <c r="G92" s="22">
        <f>1-G68/(1-Parameters!G56)</f>
        <v/>
      </c>
    </row>
    <row r="93">
      <c r="A93" s="10" t="inlineStr">
        <is>
          <t>CNS20</t>
        </is>
      </c>
      <c r="B93" s="7" t="inlineStr">
        <is>
          <t>Public Administration</t>
        </is>
      </c>
      <c r="C93" s="22">
        <f>1-C69/(1-Parameters!C57)</f>
        <v/>
      </c>
      <c r="D93" s="22">
        <f>1-D69/(1-Parameters!D57)</f>
        <v/>
      </c>
      <c r="E93" s="22">
        <f>1-E69/(1-Parameters!E57)</f>
        <v/>
      </c>
      <c r="F93" s="22">
        <f>1-F69/(1-Parameters!F57)</f>
        <v/>
      </c>
      <c r="G93" s="22">
        <f>1-G69/(1-Parameters!G57)</f>
        <v/>
      </c>
    </row>
    <row r="95">
      <c r="A95" s="3" t="inlineStr">
        <is>
          <t>Step 4: Aggregate Perturbation Factors (Ω)</t>
        </is>
      </c>
      <c r="B95" s="4" t="n"/>
      <c r="C95" s="4" t="n"/>
      <c r="D95" s="4" t="n"/>
      <c r="E95" s="4" t="n"/>
      <c r="F95" s="4" t="n"/>
      <c r="G95" s="4" t="n"/>
      <c r="H95" s="4" t="n"/>
    </row>
    <row r="96">
      <c r="A96" s="2" t="inlineStr">
        <is>
          <t>First compute industry-weighted perturbation θₑ for each education level at a given workplace, then weight by residence education shares.</t>
        </is>
      </c>
    </row>
    <row r="98">
      <c r="A98" s="17" t="inlineStr">
        <is>
          <t>Ω_ij: Workers with residence r = zone i, workplace s = zone j</t>
        </is>
      </c>
      <c r="B98" s="18" t="n"/>
      <c r="C98" s="18" t="n"/>
      <c r="D98" s="18" t="n"/>
      <c r="E98" s="18" t="n"/>
      <c r="F98" s="18" t="n"/>
      <c r="G98" s="18" t="n"/>
      <c r="H98" s="18" t="n"/>
    </row>
    <row r="99">
      <c r="A99" s="2" t="inlineStr">
        <is>
          <t>θₑ(s=j) = Σₒ Wₑₒ · O_jo   (industry-weighted perturbation at workplace zone j, for each education level e)</t>
        </is>
      </c>
    </row>
    <row r="100">
      <c r="A100" s="5" t="inlineStr"/>
      <c r="B100" s="5" t="inlineStr"/>
      <c r="C100" s="6" t="inlineStr">
        <is>
          <t>Less than HS</t>
        </is>
      </c>
      <c r="D100" s="6" t="inlineStr">
        <is>
          <t>HS Diploma</t>
        </is>
      </c>
      <c r="E100" s="6" t="inlineStr">
        <is>
          <t>Some College/Assoc.</t>
        </is>
      </c>
      <c r="F100" s="6" t="inlineStr">
        <is>
          <t>Bachelor's</t>
        </is>
      </c>
      <c r="G100" s="6" t="inlineStr">
        <is>
          <t>Advanced</t>
        </is>
      </c>
    </row>
    <row r="101">
      <c r="A101" s="12" t="inlineStr"/>
      <c r="B101" s="23" t="inlineStr">
        <is>
          <t>θₑ(s=j)</t>
        </is>
      </c>
      <c r="C101" s="22">
        <f>SUMPRODUCT(C74:C93,D20:D39)</f>
        <v/>
      </c>
      <c r="D101" s="22">
        <f>SUMPRODUCT(D74:D93,D20:D39)</f>
        <v/>
      </c>
      <c r="E101" s="22">
        <f>SUMPRODUCT(E74:E93,D20:D39)</f>
        <v/>
      </c>
      <c r="F101" s="22">
        <f>SUMPRODUCT(F74:F93,D20:D39)</f>
        <v/>
      </c>
      <c r="G101" s="22">
        <f>SUMPRODUCT(G74:G93,D20:D39)</f>
        <v/>
      </c>
    </row>
    <row r="103">
      <c r="B103" s="23" t="inlineStr">
        <is>
          <t>Ω_ij = Σₑ E_ie · θₑ(s=j)</t>
        </is>
      </c>
      <c r="C103" s="24">
        <f>SUMPRODUCT(C15:G15,C101:G101)</f>
        <v/>
      </c>
    </row>
    <row r="105">
      <c r="A105" s="17" t="inlineStr">
        <is>
          <t>Ω_ji: Workers with residence r = zone j, workplace s = zone i</t>
        </is>
      </c>
      <c r="B105" s="18" t="n"/>
      <c r="C105" s="18" t="n"/>
      <c r="D105" s="18" t="n"/>
      <c r="E105" s="18" t="n"/>
      <c r="F105" s="18" t="n"/>
      <c r="G105" s="18" t="n"/>
      <c r="H105" s="18" t="n"/>
    </row>
    <row r="106">
      <c r="A106" s="2" t="inlineStr">
        <is>
          <t>θₑ(s=i) = Σₒ Wₑₒ · O_io   (industry-weighted perturbation at workplace zone i, for each education level e)</t>
        </is>
      </c>
    </row>
    <row r="107">
      <c r="A107" s="5" t="inlineStr"/>
      <c r="B107" s="5" t="inlineStr"/>
      <c r="C107" s="6" t="inlineStr">
        <is>
          <t>Less than HS</t>
        </is>
      </c>
      <c r="D107" s="6" t="inlineStr">
        <is>
          <t>HS Diploma</t>
        </is>
      </c>
      <c r="E107" s="6" t="inlineStr">
        <is>
          <t>Some College/Assoc.</t>
        </is>
      </c>
      <c r="F107" s="6" t="inlineStr">
        <is>
          <t>Bachelor's</t>
        </is>
      </c>
      <c r="G107" s="6" t="inlineStr">
        <is>
          <t>Advanced</t>
        </is>
      </c>
    </row>
    <row r="108">
      <c r="A108" s="12" t="inlineStr"/>
      <c r="B108" s="23" t="inlineStr">
        <is>
          <t>θₑ(s=i)</t>
        </is>
      </c>
      <c r="C108" s="22">
        <f>SUMPRODUCT(C74:C93,C20:C39)</f>
        <v/>
      </c>
      <c r="D108" s="22">
        <f>SUMPRODUCT(D74:D93,C20:C39)</f>
        <v/>
      </c>
      <c r="E108" s="22">
        <f>SUMPRODUCT(E74:E93,C20:C39)</f>
        <v/>
      </c>
      <c r="F108" s="22">
        <f>SUMPRODUCT(F74:F93,C20:C39)</f>
        <v/>
      </c>
      <c r="G108" s="22">
        <f>SUMPRODUCT(G74:G93,C20:C39)</f>
        <v/>
      </c>
    </row>
    <row r="110">
      <c r="B110" s="23" t="inlineStr">
        <is>
          <t>Ω_ji = Σₑ E_je · θₑ(s=i)</t>
        </is>
      </c>
      <c r="C110" s="24">
        <f>SUMPRODUCT(C16:G16,C108:G108)</f>
        <v/>
      </c>
    </row>
    <row r="112">
      <c r="A112" s="3" t="inlineStr">
        <is>
          <t>Step 5: Symmetric Perturbation Factor and Perturbed Flow</t>
        </is>
      </c>
      <c r="B112" s="4" t="n"/>
      <c r="C112" s="4" t="n"/>
      <c r="D112" s="4" t="n"/>
      <c r="E112" s="4" t="n"/>
      <c r="F112" s="4" t="n"/>
      <c r="G112" s="4" t="n"/>
      <c r="H112" s="4" t="n"/>
    </row>
    <row r="113">
      <c r="A113" s="2" t="inlineStr">
        <is>
          <t>P_ij weights the two Ω factors by LODES commute counts, ensuring P_ij = P_ji (symmetry).</t>
        </is>
      </c>
    </row>
    <row r="115">
      <c r="B115" s="13" t="inlineStr">
        <is>
          <t>P_ij = (L_ij · Ω_ij + L_ji · Ω_ji) / (L_ij + L_ji)</t>
        </is>
      </c>
    </row>
    <row r="116">
      <c r="B116" s="23" t="inlineStr">
        <is>
          <t>P_ij (symmetric perturbation factor)</t>
        </is>
      </c>
      <c r="C116" s="24">
        <f>IF(C43+C44=0,(C103+C110)/2,(C43*C103+C44*C110)/(C43+C44))</f>
        <v/>
      </c>
    </row>
    <row r="118">
      <c r="A118" s="17" t="inlineStr">
        <is>
          <t>Final Result: Perturbed Flow</t>
        </is>
      </c>
      <c r="B118" s="18" t="n"/>
      <c r="C118" s="18" t="n"/>
      <c r="D118" s="18" t="n"/>
      <c r="E118" s="18" t="n"/>
      <c r="F118" s="18" t="n"/>
      <c r="G118" s="18" t="n"/>
      <c r="H118" s="18" t="n"/>
    </row>
    <row r="119">
      <c r="B119" s="13" t="inlineStr">
        <is>
          <t>G_ij = T_ij × P_ij</t>
        </is>
      </c>
    </row>
    <row r="120">
      <c r="B120" s="7" t="inlineStr">
        <is>
          <t>Baseline flow (T_ij)</t>
        </is>
      </c>
      <c r="C120" s="25">
        <f>C45</f>
        <v/>
      </c>
    </row>
    <row r="121">
      <c r="B121" s="7" t="inlineStr">
        <is>
          <t>Perturbation factor (P_ij)</t>
        </is>
      </c>
      <c r="C121" s="22">
        <f>C116</f>
        <v/>
      </c>
    </row>
    <row r="122">
      <c r="B122" s="26" t="inlineStr">
        <is>
          <t>Perturbed flow (G_ij)</t>
        </is>
      </c>
      <c r="C122" s="27">
        <f>C45*C116</f>
        <v/>
      </c>
    </row>
    <row r="123">
      <c r="B123" s="7" t="inlineStr">
        <is>
          <t>Absolute change (G − T)</t>
        </is>
      </c>
      <c r="C123" s="25">
        <f>C122-C45</f>
        <v/>
      </c>
    </row>
    <row r="124">
      <c r="B124" s="7" t="inlineStr">
        <is>
          <t>Percent change</t>
        </is>
      </c>
      <c r="C124" s="11">
        <f>(C122-C45)/C45</f>
        <v/>
      </c>
    </row>
    <row r="126">
      <c r="A126" s="17" t="inlineStr">
        <is>
          <t>Interpretation</t>
        </is>
      </c>
      <c r="B126" s="18" t="n"/>
      <c r="C126" s="18" t="n"/>
      <c r="D126" s="18" t="n"/>
      <c r="E126" s="18" t="n"/>
      <c r="F126" s="18" t="n"/>
      <c r="G126" s="18" t="n"/>
      <c r="H126" s="18" t="n"/>
    </row>
    <row r="127" ht="40" customHeight="1">
      <c r="A127" s="2" t="inlineStr">
        <is>
          <t>With α = 0.25, WFH rates increase by 25% proportionally across all education-industry segments. The perturbation factor P_ij reflects the demographic composition of commuters between these two zones — zone pairs with more WFH-susceptible workers (higher education, office-based industries) show larger trip reductions.</t>
        </is>
      </c>
    </row>
  </sheetData>
  <mergeCells count="23">
    <mergeCell ref="A48:H48"/>
    <mergeCell ref="B6:H6"/>
    <mergeCell ref="A98:H98"/>
    <mergeCell ref="A1:H1"/>
    <mergeCell ref="A99:H99"/>
    <mergeCell ref="A118:H118"/>
    <mergeCell ref="A18:H18"/>
    <mergeCell ref="A105:H105"/>
    <mergeCell ref="A95:H95"/>
    <mergeCell ref="A113:H113"/>
    <mergeCell ref="A2:H2"/>
    <mergeCell ref="A71:H71"/>
    <mergeCell ref="A42:H42"/>
    <mergeCell ref="A47:H47"/>
    <mergeCell ref="A126:H126"/>
    <mergeCell ref="A8:H8"/>
    <mergeCell ref="A4:H4"/>
    <mergeCell ref="A106:H106"/>
    <mergeCell ref="A96:H96"/>
    <mergeCell ref="A72:H72"/>
    <mergeCell ref="A112:H112"/>
    <mergeCell ref="A13:H13"/>
    <mergeCell ref="A127:H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2026-06-09T19:46:58Z</dcterms:created>
  <dcterms:modified xmlns:dcterms="http://purl.org/dc/terms/" xmlns:xsi="http://www.w3.org/2001/XMLSchema-instance" xsi:type="dcterms:W3CDTF">2026-06-09T19:46:58Z</dcterms:modified>
</cp:coreProperties>
</file>